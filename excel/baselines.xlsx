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-demand-forecasting\excel\"/>
    </mc:Choice>
  </mc:AlternateContent>
  <xr:revisionPtr revIDLastSave="0" documentId="13_ncr:1_{00B18984-1355-479B-8902-BB156591F523}" xr6:coauthVersionLast="47" xr6:coauthVersionMax="47" xr10:uidLastSave="{00000000-0000-0000-0000-000000000000}"/>
  <bookViews>
    <workbookView xWindow="7810" yWindow="0" windowWidth="11480" windowHeight="12090" activeTab="1" xr2:uid="{F85AD8E0-2D22-4168-BD94-BF8429F15445}"/>
  </bookViews>
  <sheets>
    <sheet name="Data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2" l="1"/>
  <c r="G17" i="2"/>
  <c r="G18" i="2"/>
  <c r="G15" i="2"/>
  <c r="C18" i="2" a="1"/>
  <c r="C18" i="2"/>
  <c r="D18" i="2" a="1"/>
  <c r="D18" i="2"/>
  <c r="E18" i="2" a="1"/>
  <c r="E18" i="2"/>
  <c r="F18" i="2" a="1"/>
  <c r="F18" i="2"/>
  <c r="B18" i="2" a="1"/>
  <c r="B18" i="2" s="1"/>
  <c r="C17" i="2" a="1"/>
  <c r="C17" i="2"/>
  <c r="D17" i="2" a="1"/>
  <c r="D17" i="2"/>
  <c r="E17" i="2" a="1"/>
  <c r="E17" i="2"/>
  <c r="F17" i="2" a="1"/>
  <c r="F17" i="2"/>
  <c r="B17" i="2" a="1"/>
  <c r="B17" i="2" s="1"/>
  <c r="C16" i="2" a="1"/>
  <c r="C16" i="2" s="1"/>
  <c r="D16" i="2" a="1"/>
  <c r="D16" i="2" s="1"/>
  <c r="E16" i="2" a="1"/>
  <c r="E16" i="2" s="1"/>
  <c r="F16" i="2" a="1"/>
  <c r="F16" i="2"/>
  <c r="B16" i="2" a="1"/>
  <c r="B16" i="2" s="1"/>
  <c r="C15" i="2" a="1"/>
  <c r="C15" i="2" s="1"/>
  <c r="D15" i="2" a="1"/>
  <c r="D15" i="2"/>
  <c r="E15" i="2" a="1"/>
  <c r="E15" i="2"/>
  <c r="F15" i="2" a="1"/>
  <c r="F15" i="2"/>
  <c r="B15" i="2" a="1"/>
  <c r="B15" i="2" s="1"/>
  <c r="H3" i="2"/>
  <c r="I3" i="2"/>
  <c r="J3" i="2"/>
  <c r="K3" i="2"/>
  <c r="L3" i="2"/>
  <c r="H4" i="2"/>
  <c r="I4" i="2"/>
  <c r="J4" i="2"/>
  <c r="K4" i="2"/>
  <c r="L4" i="2"/>
  <c r="H5" i="2"/>
  <c r="I5" i="2"/>
  <c r="J5" i="2"/>
  <c r="K5" i="2"/>
  <c r="L5" i="2"/>
  <c r="H6" i="2"/>
  <c r="I6" i="2"/>
  <c r="J6" i="2"/>
  <c r="K6" i="2"/>
  <c r="L6" i="2"/>
  <c r="H7" i="2"/>
  <c r="I7" i="2"/>
  <c r="J7" i="2"/>
  <c r="K7" i="2"/>
  <c r="L7" i="2"/>
  <c r="H8" i="2"/>
  <c r="I8" i="2"/>
  <c r="J8" i="2"/>
  <c r="K8" i="2"/>
  <c r="L8" i="2"/>
  <c r="H9" i="2"/>
  <c r="I9" i="2"/>
  <c r="J9" i="2"/>
  <c r="K9" i="2"/>
  <c r="L9" i="2"/>
  <c r="H10" i="2"/>
  <c r="I10" i="2"/>
  <c r="J10" i="2"/>
  <c r="K10" i="2"/>
  <c r="L10" i="2"/>
  <c r="H11" i="2"/>
  <c r="I11" i="2"/>
  <c r="J11" i="2"/>
  <c r="K11" i="2"/>
  <c r="L11" i="2"/>
  <c r="H12" i="2"/>
  <c r="I12" i="2"/>
  <c r="J12" i="2"/>
  <c r="K12" i="2"/>
  <c r="L12" i="2"/>
  <c r="H13" i="2"/>
  <c r="I13" i="2"/>
  <c r="J13" i="2"/>
  <c r="K13" i="2"/>
  <c r="L13" i="2"/>
  <c r="I2" i="2"/>
  <c r="J2" i="2"/>
  <c r="K2" i="2"/>
  <c r="L2" i="2"/>
  <c r="H2" i="2"/>
  <c r="B3" i="2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C2" i="2"/>
  <c r="D2" i="2"/>
  <c r="E2" i="2"/>
  <c r="F2" i="2"/>
  <c r="B2" i="2"/>
  <c r="A3" i="2"/>
  <c r="A4" i="2"/>
  <c r="A5" i="2"/>
  <c r="A6" i="2"/>
  <c r="A7" i="2"/>
  <c r="A8" i="2"/>
  <c r="A9" i="2"/>
  <c r="A10" i="2"/>
  <c r="A11" i="2"/>
  <c r="A12" i="2"/>
  <c r="A13" i="2"/>
  <c r="A2" i="2"/>
  <c r="R3" i="2"/>
  <c r="N7" i="2"/>
  <c r="O10" i="2"/>
  <c r="P13" i="2"/>
  <c r="N4" i="2"/>
  <c r="O7" i="2"/>
  <c r="P10" i="2"/>
  <c r="Q13" i="2"/>
  <c r="O4" i="2"/>
  <c r="P7" i="2"/>
  <c r="Q10" i="2"/>
  <c r="R13" i="2"/>
  <c r="P4" i="2"/>
  <c r="Q7" i="2"/>
  <c r="R10" i="2"/>
  <c r="Q4" i="2"/>
  <c r="R7" i="2"/>
  <c r="N11" i="2"/>
  <c r="R4" i="2"/>
  <c r="N8" i="2"/>
  <c r="O11" i="2"/>
  <c r="N5" i="2"/>
  <c r="O8" i="2"/>
  <c r="P11" i="2"/>
  <c r="O5" i="2"/>
  <c r="P8" i="2"/>
  <c r="Q11" i="2"/>
  <c r="P5" i="2"/>
  <c r="Q8" i="2"/>
  <c r="R11" i="2"/>
  <c r="Q5" i="2"/>
  <c r="R8" i="2"/>
  <c r="N12" i="2"/>
  <c r="R5" i="2"/>
  <c r="N9" i="2"/>
  <c r="O12" i="2"/>
  <c r="N6" i="2"/>
  <c r="P12" i="2"/>
  <c r="N3" i="2"/>
  <c r="O6" i="2"/>
  <c r="Q12" i="2"/>
  <c r="O3" i="2"/>
  <c r="Q9" i="2"/>
  <c r="R12" i="2"/>
  <c r="P3" i="2"/>
  <c r="R9" i="2"/>
  <c r="N13" i="2"/>
  <c r="Q3" i="2"/>
  <c r="R6" i="2"/>
  <c r="N10" i="2"/>
  <c r="O13" i="2"/>
  <c r="O9" i="2"/>
  <c r="P9" i="2"/>
  <c r="P6" i="2"/>
  <c r="Q6" i="2"/>
  <c r="O2" i="2"/>
  <c r="P2" i="2"/>
  <c r="Q2" i="2"/>
  <c r="R2" i="2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<sst xmlns="http://schemas.openxmlformats.org/spreadsheetml/2006/main" count="29" uniqueCount="28">
  <si>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WeekStart</t>
  </si>
  <si>
    <t>Store314</t>
  </si>
  <si>
    <t>Store299</t>
  </si>
  <si>
    <t>Store763</t>
  </si>
  <si>
    <t>Store259</t>
  </si>
  <si>
    <t>Store640</t>
  </si>
  <si>
    <t>PromoDays</t>
  </si>
  <si>
    <t>314 Actual</t>
  </si>
  <si>
    <t>299 Actual</t>
  </si>
  <si>
    <t>763 Actual</t>
  </si>
  <si>
    <t>259 Actual</t>
  </si>
  <si>
    <t>640 Actual</t>
  </si>
  <si>
    <t>314 Naïve</t>
  </si>
  <si>
    <t>299 Naïve</t>
  </si>
  <si>
    <t>763 Naïve</t>
  </si>
  <si>
    <t>259 Naïve</t>
  </si>
  <si>
    <t>640 Naïve</t>
  </si>
  <si>
    <t>314 ETS</t>
  </si>
  <si>
    <t>299 ETS</t>
  </si>
  <si>
    <t>763 ETS</t>
  </si>
  <si>
    <t>259 ETS</t>
  </si>
  <si>
    <t>640 ETS</t>
  </si>
  <si>
    <t>MAPE Naïve</t>
  </si>
  <si>
    <t>MAPE ETS</t>
  </si>
  <si>
    <t>WAPE Naïve</t>
  </si>
  <si>
    <t>WAPE ETS</t>
  </si>
  <si>
    <t>Average</t>
  </si>
  <si>
    <t>Finding: Both baselines average ~6.5% WAPE on a 12-week holdout (May–Jul 2015). Seasonal naive wins for stores 314 and 763; FORECAST.ETS wins for 259 and 640. Benchmark for Step 5: 6.5% WAPE.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</si>
</sst>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71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171" fontId="0" fillId="0" borderId="0" xfId="0" applyNumberFormat="1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Store 314: actual vs. baseline forecasts (12-week holdout)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314 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Forecast!$A$2:$A$13</c:f>
              <c:numCache>
                <c:formatCode>m/d/yyyy</c:formatCode>
                <c:ptCount val="12"/>
                <c:pt idx="0">
                  <c:v>42128</c:v>
                </c:pt>
                <c:pt idx="1">
                  <c:v>42135</c:v>
                </c:pt>
                <c:pt idx="2">
                  <c:v>42142</c:v>
                </c:pt>
                <c:pt idx="3">
                  <c:v>42149</c:v>
                </c:pt>
                <c:pt idx="4">
                  <c:v>42156</c:v>
                </c:pt>
                <c:pt idx="5">
                  <c:v>42163</c:v>
                </c:pt>
                <c:pt idx="6">
                  <c:v>42170</c:v>
                </c:pt>
                <c:pt idx="7">
                  <c:v>42177</c:v>
                </c:pt>
                <c:pt idx="8">
                  <c:v>42184</c:v>
                </c:pt>
                <c:pt idx="9">
                  <c:v>42191</c:v>
                </c:pt>
                <c:pt idx="10">
                  <c:v>42198</c:v>
                </c:pt>
                <c:pt idx="11">
                  <c:v>42205</c:v>
                </c:pt>
              </c:numCache>
            </c:numRef>
          </c:cat>
          <c:val>
            <c:numRef>
              <c:f>Forecast!$B$2:$B$13</c:f>
              <c:numCache>
                <c:formatCode>General</c:formatCode>
                <c:ptCount val="12"/>
                <c:pt idx="0">
                  <c:v>35568</c:v>
                </c:pt>
                <c:pt idx="1">
                  <c:v>23184</c:v>
                </c:pt>
                <c:pt idx="2">
                  <c:v>32983</c:v>
                </c:pt>
                <c:pt idx="3">
                  <c:v>24552</c:v>
                </c:pt>
                <c:pt idx="4">
                  <c:v>31282</c:v>
                </c:pt>
                <c:pt idx="5">
                  <c:v>26249</c:v>
                </c:pt>
                <c:pt idx="6">
                  <c:v>34523</c:v>
                </c:pt>
                <c:pt idx="7">
                  <c:v>24954</c:v>
                </c:pt>
                <c:pt idx="8">
                  <c:v>33949</c:v>
                </c:pt>
                <c:pt idx="9">
                  <c:v>25560</c:v>
                </c:pt>
                <c:pt idx="10">
                  <c:v>32500</c:v>
                </c:pt>
                <c:pt idx="11">
                  <c:v>24087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B-4A1F-BA75-64F011FFF135}"/>
            </c:ext>
          </c:extLst>
        </c:ser>
        <c:ser>
          <c:idx val="1"/>
          <c:order val="1"/>
          <c:tx>
            <c:strRef>
              <c:f>Forecast!$H$1</c:f>
              <c:strCache>
                <c:ptCount val="1"/>
                <c:pt idx="0">
                  <c:v>314 Naïve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Forecast!$H$2:$H$13</c:f>
              <c:numCache>
                <c:formatCode>General</c:formatCode>
                <c:ptCount val="12"/>
                <c:pt idx="0">
                  <c:v>36542</c:v>
                </c:pt>
                <c:pt idx="1">
                  <c:v>23609</c:v>
                </c:pt>
                <c:pt idx="2">
                  <c:v>33807</c:v>
                </c:pt>
                <c:pt idx="3">
                  <c:v>23808</c:v>
                </c:pt>
                <c:pt idx="4">
                  <c:v>38994</c:v>
                </c:pt>
                <c:pt idx="5">
                  <c:v>23473</c:v>
                </c:pt>
                <c:pt idx="6">
                  <c:v>30206</c:v>
                </c:pt>
                <c:pt idx="7">
                  <c:v>25650</c:v>
                </c:pt>
                <c:pt idx="8">
                  <c:v>37929</c:v>
                </c:pt>
                <c:pt idx="9">
                  <c:v>25007</c:v>
                </c:pt>
                <c:pt idx="10">
                  <c:v>32759</c:v>
                </c:pt>
                <c:pt idx="11">
                  <c:v>24757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B-4A1F-BA75-64F011FFF135}"/>
            </c:ext>
          </c:extLst>
        </c:ser>
        <c:ser>
          <c:idx val="2"/>
          <c:order val="2"/>
          <c:tx>
            <c:strRef>
              <c:f>Forecast!$N$1</c:f>
              <c:strCache>
                <c:ptCount val="1"/>
                <c:pt idx="0">
                  <c:v>314 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Forecast!$N$2:$N$13</c:f>
              <c:numCache>
                <c:formatCode>0</c:formatCode>
                <c:ptCount val="12"/>
                <c:pt idx="0">
                  <c:v>36033.761901517311</c:v>
                </c:pt>
                <c:pt idx="1">
                  <c:v>26930.719417862369</c:v>
                </c:pt>
                <c:pt idx="2">
                  <c:v>32819.153445961165</c:v>
                </c:pt>
                <c:pt idx="3">
                  <c:v>26531.142058982972</c:v>
                </c:pt>
                <c:pt idx="4">
                  <c:v>39593.1252604935</c:v>
                </c:pt>
                <c:pt idx="5">
                  <c:v>25122.276689209601</c:v>
                </c:pt>
                <c:pt idx="6">
                  <c:v>31640.270189462346</c:v>
                </c:pt>
                <c:pt idx="7">
                  <c:v>26695.102645169667</c:v>
                </c:pt>
                <c:pt idx="8">
                  <c:v>38093.174072894537</c:v>
                </c:pt>
                <c:pt idx="9">
                  <c:v>26538.00810802247</c:v>
                </c:pt>
                <c:pt idx="10">
                  <c:v>34897.336148542126</c:v>
                </c:pt>
                <c:pt idx="11">
                  <c:v>26049.671306204422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0B-4A1F-BA75-64F011FFF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162671"/>
        <c:axId val="1137832879"/>
      </c:lineChart>
      <c:dateAx>
        <c:axId val="11551626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832879"/>
        <c:crosses val="autoZero"/>
        <c:auto val="1"/>
        <c:lblOffset val="100"/>
        <c:baseTimeUnit val="days"/>
      </c:dateAx>
      <c:valAx>
        <c:axId val="1137832879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6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894291</xdr:colOff>
      <xdr:row>16</xdr:row>
      <xdr:rowOff>120650</xdr:rowOff>
    </xdr:from>
    <xdr:to>
      <xdr:col>12</xdr:col>
      <xdr:colOff>386291</xdr:colOff>
      <xdr:row>29</xdr:row>
      <xdr:rowOff>48684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38BC6-819A-10E7-7377-1ECCE7C42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7763-34E0-4194-84AC-C419D52EC83F}">
  <dimension ref="A1:G134"/>
  <sheetViews>
    <sheetView topLeftCell="A117" workbookViewId="0">
      <selection activeCell="B140" sqref="B140"/>
    </sheetView>
  </sheetViews>
  <sheetFormatPr defaultColWidth="15.0898437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41281</v>
      </c>
      <c r="B2">
        <v>34321</v>
      </c>
      <c r="C2">
        <v>27726</v>
      </c>
      <c r="D2">
        <v>38756</v>
      </c>
      <c r="E2">
        <v>55120</v>
      </c>
      <c r="F2">
        <v>77821</v>
      </c>
      <c r="G2">
        <v>5</v>
      </c>
    </row>
    <row r="3" spans="1:7" x14ac:dyDescent="0.35">
      <c r="A3" s="1">
        <v>41288</v>
      </c>
      <c r="B3">
        <v>23045</v>
      </c>
      <c r="C3">
        <v>21240</v>
      </c>
      <c r="D3">
        <v>27346</v>
      </c>
      <c r="E3">
        <v>47889</v>
      </c>
      <c r="F3">
        <v>52291</v>
      </c>
      <c r="G3">
        <v>0</v>
      </c>
    </row>
    <row r="4" spans="1:7" x14ac:dyDescent="0.35">
      <c r="A4" s="1">
        <v>41295</v>
      </c>
      <c r="B4">
        <v>32832</v>
      </c>
      <c r="C4">
        <v>24634</v>
      </c>
      <c r="D4">
        <v>36798</v>
      </c>
      <c r="E4">
        <v>50531</v>
      </c>
      <c r="F4">
        <v>69432</v>
      </c>
      <c r="G4">
        <v>5</v>
      </c>
    </row>
    <row r="5" spans="1:7" x14ac:dyDescent="0.35">
      <c r="A5" s="1">
        <v>41302</v>
      </c>
      <c r="B5">
        <v>24517</v>
      </c>
      <c r="C5">
        <v>24002</v>
      </c>
      <c r="D5">
        <v>29272</v>
      </c>
      <c r="E5">
        <v>0</v>
      </c>
      <c r="F5">
        <v>57083</v>
      </c>
      <c r="G5">
        <v>0</v>
      </c>
    </row>
    <row r="6" spans="1:7" x14ac:dyDescent="0.35">
      <c r="A6" s="1">
        <v>41309</v>
      </c>
      <c r="B6">
        <v>34664</v>
      </c>
      <c r="C6">
        <v>28267</v>
      </c>
      <c r="D6">
        <v>38778</v>
      </c>
      <c r="E6">
        <v>30421</v>
      </c>
      <c r="F6">
        <v>76746</v>
      </c>
      <c r="G6">
        <v>5</v>
      </c>
    </row>
    <row r="7" spans="1:7" x14ac:dyDescent="0.35">
      <c r="A7" s="1">
        <v>41316</v>
      </c>
      <c r="B7">
        <v>23985</v>
      </c>
      <c r="C7">
        <v>24480</v>
      </c>
      <c r="D7">
        <v>29485</v>
      </c>
      <c r="E7">
        <v>71865</v>
      </c>
      <c r="F7">
        <v>53854</v>
      </c>
      <c r="G7">
        <v>0</v>
      </c>
    </row>
    <row r="8" spans="1:7" x14ac:dyDescent="0.35">
      <c r="A8" s="1">
        <v>41323</v>
      </c>
      <c r="B8">
        <v>33649</v>
      </c>
      <c r="C8">
        <v>28866</v>
      </c>
      <c r="D8">
        <v>38027</v>
      </c>
      <c r="E8">
        <v>68881</v>
      </c>
      <c r="F8">
        <v>70413</v>
      </c>
      <c r="G8">
        <v>5</v>
      </c>
    </row>
    <row r="9" spans="1:7" x14ac:dyDescent="0.35">
      <c r="A9" s="1">
        <v>41330</v>
      </c>
      <c r="B9">
        <v>24826</v>
      </c>
      <c r="C9">
        <v>25586</v>
      </c>
      <c r="D9">
        <v>29871</v>
      </c>
      <c r="E9">
        <v>64504</v>
      </c>
      <c r="F9">
        <v>55045</v>
      </c>
      <c r="G9">
        <v>0</v>
      </c>
    </row>
    <row r="10" spans="1:7" x14ac:dyDescent="0.35">
      <c r="A10" s="1">
        <v>41337</v>
      </c>
      <c r="B10">
        <v>34691</v>
      </c>
      <c r="C10">
        <v>31185</v>
      </c>
      <c r="D10">
        <v>40410</v>
      </c>
      <c r="E10">
        <v>66171</v>
      </c>
      <c r="F10">
        <v>74794</v>
      </c>
      <c r="G10">
        <v>5</v>
      </c>
    </row>
    <row r="11" spans="1:7" x14ac:dyDescent="0.35">
      <c r="A11" s="1">
        <v>41344</v>
      </c>
      <c r="B11">
        <v>23031</v>
      </c>
      <c r="C11">
        <v>28489</v>
      </c>
      <c r="D11">
        <v>31162</v>
      </c>
      <c r="E11">
        <v>75002</v>
      </c>
      <c r="F11">
        <v>54565</v>
      </c>
      <c r="G11">
        <v>0</v>
      </c>
    </row>
    <row r="12" spans="1:7" x14ac:dyDescent="0.35">
      <c r="A12" s="1">
        <v>41351</v>
      </c>
      <c r="B12">
        <v>32698</v>
      </c>
      <c r="C12">
        <v>36888</v>
      </c>
      <c r="D12">
        <v>38389</v>
      </c>
      <c r="E12">
        <v>70497</v>
      </c>
      <c r="F12">
        <v>73667</v>
      </c>
      <c r="G12">
        <v>5</v>
      </c>
    </row>
    <row r="13" spans="1:7" x14ac:dyDescent="0.35">
      <c r="A13" s="1">
        <v>41358</v>
      </c>
      <c r="B13">
        <v>31534</v>
      </c>
      <c r="C13">
        <v>47526</v>
      </c>
      <c r="D13">
        <v>42120</v>
      </c>
      <c r="E13">
        <v>81598</v>
      </c>
      <c r="F13">
        <v>72170</v>
      </c>
      <c r="G13">
        <v>5</v>
      </c>
    </row>
    <row r="14" spans="1:7" x14ac:dyDescent="0.35">
      <c r="A14" s="1">
        <v>41365</v>
      </c>
      <c r="B14">
        <v>20358</v>
      </c>
      <c r="C14">
        <v>33110</v>
      </c>
      <c r="D14">
        <v>23618</v>
      </c>
      <c r="E14">
        <v>72044</v>
      </c>
      <c r="F14">
        <v>49478</v>
      </c>
      <c r="G14">
        <v>0</v>
      </c>
    </row>
    <row r="15" spans="1:7" x14ac:dyDescent="0.35">
      <c r="A15" s="1">
        <v>41372</v>
      </c>
      <c r="B15">
        <v>31619</v>
      </c>
      <c r="C15">
        <v>31224</v>
      </c>
      <c r="D15">
        <v>36078</v>
      </c>
      <c r="E15">
        <v>76657</v>
      </c>
      <c r="F15">
        <v>69631</v>
      </c>
      <c r="G15">
        <v>5</v>
      </c>
    </row>
    <row r="16" spans="1:7" x14ac:dyDescent="0.35">
      <c r="A16" s="1">
        <v>41379</v>
      </c>
      <c r="B16">
        <v>23605</v>
      </c>
      <c r="C16">
        <v>27221</v>
      </c>
      <c r="D16">
        <v>27143</v>
      </c>
      <c r="E16">
        <v>66007</v>
      </c>
      <c r="F16">
        <v>51422</v>
      </c>
      <c r="G16">
        <v>0</v>
      </c>
    </row>
    <row r="17" spans="1:7" x14ac:dyDescent="0.35">
      <c r="A17" s="1">
        <v>41386</v>
      </c>
      <c r="B17">
        <v>31992</v>
      </c>
      <c r="C17">
        <v>34350</v>
      </c>
      <c r="D17">
        <v>35877</v>
      </c>
      <c r="E17">
        <v>71982</v>
      </c>
      <c r="F17">
        <v>66772</v>
      </c>
      <c r="G17">
        <v>5</v>
      </c>
    </row>
    <row r="18" spans="1:7" x14ac:dyDescent="0.35">
      <c r="A18" s="1">
        <v>41393</v>
      </c>
      <c r="B18">
        <v>31556</v>
      </c>
      <c r="C18">
        <v>39557</v>
      </c>
      <c r="D18">
        <v>32972</v>
      </c>
      <c r="E18">
        <v>80007</v>
      </c>
      <c r="F18">
        <v>66163</v>
      </c>
      <c r="G18">
        <v>5</v>
      </c>
    </row>
    <row r="19" spans="1:7" x14ac:dyDescent="0.35">
      <c r="A19" s="1">
        <v>41400</v>
      </c>
      <c r="B19">
        <v>25193</v>
      </c>
      <c r="C19">
        <v>40824</v>
      </c>
      <c r="D19">
        <v>29085</v>
      </c>
      <c r="E19">
        <v>75586</v>
      </c>
      <c r="F19">
        <v>55128</v>
      </c>
      <c r="G19">
        <v>0</v>
      </c>
    </row>
    <row r="20" spans="1:7" x14ac:dyDescent="0.35">
      <c r="A20" s="1">
        <v>41407</v>
      </c>
      <c r="B20">
        <v>32900</v>
      </c>
      <c r="C20">
        <v>44535</v>
      </c>
      <c r="D20">
        <v>37705</v>
      </c>
      <c r="E20">
        <v>75371</v>
      </c>
      <c r="F20">
        <v>74961</v>
      </c>
      <c r="G20">
        <v>5</v>
      </c>
    </row>
    <row r="21" spans="1:7" x14ac:dyDescent="0.35">
      <c r="A21" s="1">
        <v>41414</v>
      </c>
      <c r="B21">
        <v>20362</v>
      </c>
      <c r="C21">
        <v>37953</v>
      </c>
      <c r="D21">
        <v>25549</v>
      </c>
      <c r="E21">
        <v>78382</v>
      </c>
      <c r="F21">
        <v>45450</v>
      </c>
      <c r="G21">
        <v>0</v>
      </c>
    </row>
    <row r="22" spans="1:7" x14ac:dyDescent="0.35">
      <c r="A22" s="1">
        <v>41421</v>
      </c>
      <c r="B22">
        <v>30365</v>
      </c>
      <c r="C22">
        <v>45809</v>
      </c>
      <c r="D22">
        <v>38460</v>
      </c>
      <c r="E22">
        <v>78800</v>
      </c>
      <c r="F22">
        <v>70723</v>
      </c>
      <c r="G22">
        <v>5</v>
      </c>
    </row>
    <row r="23" spans="1:7" x14ac:dyDescent="0.35">
      <c r="A23" s="1">
        <v>41428</v>
      </c>
      <c r="B23">
        <v>34465</v>
      </c>
      <c r="C23">
        <v>45250</v>
      </c>
      <c r="D23">
        <v>37879</v>
      </c>
      <c r="E23">
        <v>75486</v>
      </c>
      <c r="F23">
        <v>70833</v>
      </c>
      <c r="G23">
        <v>5</v>
      </c>
    </row>
    <row r="24" spans="1:7" x14ac:dyDescent="0.35">
      <c r="A24" s="1">
        <v>41435</v>
      </c>
      <c r="B24">
        <v>24770</v>
      </c>
      <c r="C24">
        <v>39519</v>
      </c>
      <c r="D24">
        <v>29738</v>
      </c>
      <c r="E24">
        <v>72317</v>
      </c>
      <c r="F24">
        <v>55796</v>
      </c>
      <c r="G24">
        <v>0</v>
      </c>
    </row>
    <row r="25" spans="1:7" x14ac:dyDescent="0.35">
      <c r="A25" s="1">
        <v>41442</v>
      </c>
      <c r="B25">
        <v>30591</v>
      </c>
      <c r="C25">
        <v>44876</v>
      </c>
      <c r="D25">
        <v>37132</v>
      </c>
      <c r="E25">
        <v>75219</v>
      </c>
      <c r="F25">
        <v>68192</v>
      </c>
      <c r="G25">
        <v>5</v>
      </c>
    </row>
    <row r="26" spans="1:7" x14ac:dyDescent="0.35">
      <c r="A26" s="1">
        <v>41449</v>
      </c>
      <c r="B26">
        <v>24194</v>
      </c>
      <c r="C26">
        <v>41893</v>
      </c>
      <c r="D26">
        <v>30256</v>
      </c>
      <c r="E26">
        <v>72334</v>
      </c>
      <c r="F26">
        <v>55956</v>
      </c>
      <c r="G26">
        <v>0</v>
      </c>
    </row>
    <row r="27" spans="1:7" x14ac:dyDescent="0.35">
      <c r="A27" s="1">
        <v>41456</v>
      </c>
      <c r="B27">
        <v>35159</v>
      </c>
      <c r="C27">
        <v>51071</v>
      </c>
      <c r="D27">
        <v>39077</v>
      </c>
      <c r="E27">
        <v>75852</v>
      </c>
      <c r="F27">
        <v>77765</v>
      </c>
      <c r="G27">
        <v>5</v>
      </c>
    </row>
    <row r="28" spans="1:7" x14ac:dyDescent="0.35">
      <c r="A28" s="1">
        <v>41463</v>
      </c>
      <c r="B28">
        <v>25221</v>
      </c>
      <c r="C28">
        <v>55761</v>
      </c>
      <c r="D28">
        <v>29198</v>
      </c>
      <c r="E28">
        <v>67078</v>
      </c>
      <c r="F28">
        <v>56379</v>
      </c>
      <c r="G28">
        <v>0</v>
      </c>
    </row>
    <row r="29" spans="1:7" x14ac:dyDescent="0.35">
      <c r="A29" s="1">
        <v>41470</v>
      </c>
      <c r="B29">
        <v>34396</v>
      </c>
      <c r="C29">
        <v>62924</v>
      </c>
      <c r="D29">
        <v>36892</v>
      </c>
      <c r="E29">
        <v>72050</v>
      </c>
      <c r="F29">
        <v>80074</v>
      </c>
      <c r="G29">
        <v>5</v>
      </c>
    </row>
    <row r="30" spans="1:7" x14ac:dyDescent="0.35">
      <c r="A30" s="1">
        <v>41477</v>
      </c>
      <c r="B30">
        <v>24610</v>
      </c>
      <c r="C30">
        <v>65693</v>
      </c>
      <c r="D30">
        <v>30773</v>
      </c>
      <c r="E30">
        <v>67549</v>
      </c>
      <c r="F30">
        <v>53411</v>
      </c>
      <c r="G30">
        <v>0</v>
      </c>
    </row>
    <row r="31" spans="1:7" x14ac:dyDescent="0.35">
      <c r="A31" s="1">
        <v>41484</v>
      </c>
      <c r="B31">
        <v>34057</v>
      </c>
      <c r="C31">
        <v>64582</v>
      </c>
      <c r="D31">
        <v>47564</v>
      </c>
      <c r="E31">
        <v>74160</v>
      </c>
      <c r="F31">
        <v>79896</v>
      </c>
      <c r="G31">
        <v>5</v>
      </c>
    </row>
    <row r="32" spans="1:7" x14ac:dyDescent="0.35">
      <c r="A32" s="1">
        <v>41491</v>
      </c>
      <c r="B32">
        <v>26543</v>
      </c>
      <c r="C32">
        <v>60372</v>
      </c>
      <c r="D32">
        <v>40540</v>
      </c>
      <c r="E32">
        <v>66595</v>
      </c>
      <c r="F32">
        <v>55980</v>
      </c>
      <c r="G32">
        <v>0</v>
      </c>
    </row>
    <row r="33" spans="1:7" x14ac:dyDescent="0.35">
      <c r="A33" s="1">
        <v>41498</v>
      </c>
      <c r="B33">
        <v>34014</v>
      </c>
      <c r="C33">
        <v>58372</v>
      </c>
      <c r="D33">
        <v>42558</v>
      </c>
      <c r="E33">
        <v>73488</v>
      </c>
      <c r="F33">
        <v>74973</v>
      </c>
      <c r="G33">
        <v>5</v>
      </c>
    </row>
    <row r="34" spans="1:7" x14ac:dyDescent="0.35">
      <c r="A34" s="1">
        <v>41505</v>
      </c>
      <c r="B34">
        <v>22954</v>
      </c>
      <c r="C34">
        <v>48662</v>
      </c>
      <c r="D34">
        <v>27319</v>
      </c>
      <c r="E34">
        <v>67283</v>
      </c>
      <c r="F34">
        <v>49983</v>
      </c>
      <c r="G34">
        <v>0</v>
      </c>
    </row>
    <row r="35" spans="1:7" x14ac:dyDescent="0.35">
      <c r="A35" s="1">
        <v>41512</v>
      </c>
      <c r="B35">
        <v>34072</v>
      </c>
      <c r="C35">
        <v>51621</v>
      </c>
      <c r="D35">
        <v>39617</v>
      </c>
      <c r="E35">
        <v>73211</v>
      </c>
      <c r="F35">
        <v>75752</v>
      </c>
      <c r="G35">
        <v>5</v>
      </c>
    </row>
    <row r="36" spans="1:7" x14ac:dyDescent="0.35">
      <c r="A36" s="1">
        <v>41519</v>
      </c>
      <c r="B36">
        <v>24007</v>
      </c>
      <c r="C36">
        <v>42188</v>
      </c>
      <c r="D36">
        <v>27920</v>
      </c>
      <c r="E36">
        <v>68387</v>
      </c>
      <c r="F36">
        <v>56323</v>
      </c>
      <c r="G36">
        <v>0</v>
      </c>
    </row>
    <row r="37" spans="1:7" x14ac:dyDescent="0.35">
      <c r="A37" s="1">
        <v>41526</v>
      </c>
      <c r="B37">
        <v>33136</v>
      </c>
      <c r="C37">
        <v>46946</v>
      </c>
      <c r="D37">
        <v>38200</v>
      </c>
      <c r="E37">
        <v>75021</v>
      </c>
      <c r="F37">
        <v>73490</v>
      </c>
      <c r="G37">
        <v>5</v>
      </c>
    </row>
    <row r="38" spans="1:7" x14ac:dyDescent="0.35">
      <c r="A38" s="1">
        <v>41533</v>
      </c>
      <c r="B38">
        <v>22153</v>
      </c>
      <c r="C38">
        <v>36016</v>
      </c>
      <c r="D38">
        <v>28459</v>
      </c>
      <c r="E38">
        <v>70994</v>
      </c>
      <c r="F38">
        <v>50062</v>
      </c>
      <c r="G38">
        <v>0</v>
      </c>
    </row>
    <row r="39" spans="1:7" x14ac:dyDescent="0.35">
      <c r="A39" s="1">
        <v>41540</v>
      </c>
      <c r="B39">
        <v>32671</v>
      </c>
      <c r="C39">
        <v>42182</v>
      </c>
      <c r="D39">
        <v>37506</v>
      </c>
      <c r="E39">
        <v>72883</v>
      </c>
      <c r="F39">
        <v>68546</v>
      </c>
      <c r="G39">
        <v>5</v>
      </c>
    </row>
    <row r="40" spans="1:7" x14ac:dyDescent="0.35">
      <c r="A40" s="1">
        <v>41547</v>
      </c>
      <c r="B40">
        <v>23663</v>
      </c>
      <c r="C40">
        <v>42100</v>
      </c>
      <c r="D40">
        <v>28165</v>
      </c>
      <c r="E40">
        <v>79254</v>
      </c>
      <c r="F40">
        <v>50890</v>
      </c>
      <c r="G40">
        <v>0</v>
      </c>
    </row>
    <row r="41" spans="1:7" x14ac:dyDescent="0.35">
      <c r="A41" s="1">
        <v>41554</v>
      </c>
      <c r="B41">
        <v>33056</v>
      </c>
      <c r="C41">
        <v>45040</v>
      </c>
      <c r="D41">
        <v>37266</v>
      </c>
      <c r="E41">
        <v>80768</v>
      </c>
      <c r="F41">
        <v>72593</v>
      </c>
      <c r="G41">
        <v>5</v>
      </c>
    </row>
    <row r="42" spans="1:7" x14ac:dyDescent="0.35">
      <c r="A42" s="1">
        <v>41561</v>
      </c>
      <c r="B42">
        <v>23532</v>
      </c>
      <c r="C42">
        <v>35752</v>
      </c>
      <c r="D42">
        <v>27980</v>
      </c>
      <c r="E42">
        <v>72127</v>
      </c>
      <c r="F42">
        <v>52610</v>
      </c>
      <c r="G42">
        <v>0</v>
      </c>
    </row>
    <row r="43" spans="1:7" x14ac:dyDescent="0.35">
      <c r="A43" s="1">
        <v>41568</v>
      </c>
      <c r="B43">
        <v>31598</v>
      </c>
      <c r="C43">
        <v>39597</v>
      </c>
      <c r="D43">
        <v>36016</v>
      </c>
      <c r="E43">
        <v>74986</v>
      </c>
      <c r="F43">
        <v>65171</v>
      </c>
      <c r="G43">
        <v>5</v>
      </c>
    </row>
    <row r="44" spans="1:7" x14ac:dyDescent="0.35">
      <c r="A44" s="1">
        <v>41575</v>
      </c>
      <c r="B44">
        <v>24559</v>
      </c>
      <c r="C44">
        <v>30364</v>
      </c>
      <c r="D44">
        <v>31116</v>
      </c>
      <c r="E44">
        <v>75140</v>
      </c>
      <c r="F44">
        <v>49977</v>
      </c>
      <c r="G44">
        <v>0</v>
      </c>
    </row>
    <row r="45" spans="1:7" x14ac:dyDescent="0.35">
      <c r="A45" s="1">
        <v>41582</v>
      </c>
      <c r="B45">
        <v>33182</v>
      </c>
      <c r="C45">
        <v>34500</v>
      </c>
      <c r="D45">
        <v>40145</v>
      </c>
      <c r="E45">
        <v>79733</v>
      </c>
      <c r="F45">
        <v>74641</v>
      </c>
      <c r="G45">
        <v>5</v>
      </c>
    </row>
    <row r="46" spans="1:7" x14ac:dyDescent="0.35">
      <c r="A46" s="1">
        <v>41589</v>
      </c>
      <c r="B46">
        <v>24738</v>
      </c>
      <c r="C46">
        <v>28661</v>
      </c>
      <c r="D46">
        <v>30690</v>
      </c>
      <c r="E46">
        <v>75309</v>
      </c>
      <c r="F46">
        <v>52814</v>
      </c>
      <c r="G46">
        <v>0</v>
      </c>
    </row>
    <row r="47" spans="1:7" x14ac:dyDescent="0.35">
      <c r="A47" s="1">
        <v>41596</v>
      </c>
      <c r="B47">
        <v>32951</v>
      </c>
      <c r="C47">
        <v>32694</v>
      </c>
      <c r="D47">
        <v>41494</v>
      </c>
      <c r="E47">
        <v>83421</v>
      </c>
      <c r="F47">
        <v>71784</v>
      </c>
      <c r="G47">
        <v>5</v>
      </c>
    </row>
    <row r="48" spans="1:7" x14ac:dyDescent="0.35">
      <c r="A48" s="1">
        <v>41603</v>
      </c>
      <c r="B48">
        <v>28572</v>
      </c>
      <c r="C48">
        <v>32277</v>
      </c>
      <c r="D48">
        <v>42751</v>
      </c>
      <c r="E48">
        <v>82635</v>
      </c>
      <c r="F48">
        <v>63789</v>
      </c>
      <c r="G48">
        <v>0</v>
      </c>
    </row>
    <row r="49" spans="1:7" x14ac:dyDescent="0.35">
      <c r="A49" s="1">
        <v>41610</v>
      </c>
      <c r="B49">
        <v>39953</v>
      </c>
      <c r="C49">
        <v>32071</v>
      </c>
      <c r="D49">
        <v>46079</v>
      </c>
      <c r="E49">
        <v>95687</v>
      </c>
      <c r="F49">
        <v>85897</v>
      </c>
      <c r="G49">
        <v>5</v>
      </c>
    </row>
    <row r="50" spans="1:7" x14ac:dyDescent="0.35">
      <c r="A50" s="1">
        <v>41617</v>
      </c>
      <c r="B50">
        <v>29500</v>
      </c>
      <c r="C50">
        <v>29268</v>
      </c>
      <c r="D50">
        <v>39202</v>
      </c>
      <c r="E50">
        <v>83198</v>
      </c>
      <c r="F50">
        <v>64045</v>
      </c>
      <c r="G50">
        <v>0</v>
      </c>
    </row>
    <row r="51" spans="1:7" x14ac:dyDescent="0.35">
      <c r="A51" s="1">
        <v>41624</v>
      </c>
      <c r="B51">
        <v>50719</v>
      </c>
      <c r="C51">
        <v>42872</v>
      </c>
      <c r="D51">
        <v>61447</v>
      </c>
      <c r="E51">
        <v>91489</v>
      </c>
      <c r="F51">
        <v>107000</v>
      </c>
      <c r="G51">
        <v>5</v>
      </c>
    </row>
    <row r="52" spans="1:7" x14ac:dyDescent="0.35">
      <c r="A52" s="1">
        <v>41631</v>
      </c>
      <c r="B52">
        <v>21454</v>
      </c>
      <c r="C52">
        <v>33433</v>
      </c>
      <c r="D52">
        <v>29254</v>
      </c>
      <c r="E52">
        <v>77006</v>
      </c>
      <c r="F52">
        <v>53362</v>
      </c>
      <c r="G52">
        <v>0</v>
      </c>
    </row>
    <row r="53" spans="1:7" x14ac:dyDescent="0.35">
      <c r="A53" s="1">
        <v>41638</v>
      </c>
      <c r="B53">
        <v>22568</v>
      </c>
      <c r="C53">
        <v>34098</v>
      </c>
      <c r="D53">
        <v>27301</v>
      </c>
      <c r="E53">
        <v>67323</v>
      </c>
      <c r="F53">
        <v>53062</v>
      </c>
      <c r="G53">
        <v>0</v>
      </c>
    </row>
    <row r="54" spans="1:7" x14ac:dyDescent="0.35">
      <c r="A54" s="1">
        <v>41645</v>
      </c>
      <c r="B54">
        <v>36336</v>
      </c>
      <c r="C54">
        <v>32389</v>
      </c>
      <c r="D54">
        <v>41999</v>
      </c>
      <c r="E54">
        <v>85506</v>
      </c>
      <c r="F54">
        <v>78165</v>
      </c>
      <c r="G54">
        <v>5</v>
      </c>
    </row>
    <row r="55" spans="1:7" x14ac:dyDescent="0.35">
      <c r="A55" s="1">
        <v>41652</v>
      </c>
      <c r="B55">
        <v>24479</v>
      </c>
      <c r="C55">
        <v>24210</v>
      </c>
      <c r="D55">
        <v>28232</v>
      </c>
      <c r="E55">
        <v>71544</v>
      </c>
      <c r="F55">
        <v>52102</v>
      </c>
      <c r="G55">
        <v>0</v>
      </c>
    </row>
    <row r="56" spans="1:7" x14ac:dyDescent="0.35">
      <c r="A56" s="1">
        <v>41659</v>
      </c>
      <c r="B56">
        <v>34372</v>
      </c>
      <c r="C56">
        <v>28296</v>
      </c>
      <c r="D56">
        <v>39914</v>
      </c>
      <c r="E56">
        <v>85493</v>
      </c>
      <c r="F56">
        <v>69365</v>
      </c>
      <c r="G56">
        <v>5</v>
      </c>
    </row>
    <row r="57" spans="1:7" x14ac:dyDescent="0.35">
      <c r="A57" s="1">
        <v>41666</v>
      </c>
      <c r="B57">
        <v>27484</v>
      </c>
      <c r="C57">
        <v>26232</v>
      </c>
      <c r="D57">
        <v>28838</v>
      </c>
      <c r="E57">
        <v>79803</v>
      </c>
      <c r="F57">
        <v>56176</v>
      </c>
      <c r="G57">
        <v>0</v>
      </c>
    </row>
    <row r="58" spans="1:7" x14ac:dyDescent="0.35">
      <c r="A58" s="1">
        <v>41673</v>
      </c>
      <c r="B58">
        <v>38647</v>
      </c>
      <c r="C58">
        <v>31499</v>
      </c>
      <c r="D58">
        <v>40158</v>
      </c>
      <c r="E58">
        <v>92088</v>
      </c>
      <c r="F58">
        <v>77232</v>
      </c>
      <c r="G58">
        <v>5</v>
      </c>
    </row>
    <row r="59" spans="1:7" x14ac:dyDescent="0.35">
      <c r="A59" s="1">
        <v>41680</v>
      </c>
      <c r="B59">
        <v>25456</v>
      </c>
      <c r="C59">
        <v>25978</v>
      </c>
      <c r="D59">
        <v>28738</v>
      </c>
      <c r="E59">
        <v>83691</v>
      </c>
      <c r="F59">
        <v>55481</v>
      </c>
      <c r="G59">
        <v>0</v>
      </c>
    </row>
    <row r="60" spans="1:7" x14ac:dyDescent="0.35">
      <c r="A60" s="1">
        <v>41687</v>
      </c>
      <c r="B60">
        <v>33508</v>
      </c>
      <c r="C60">
        <v>30380</v>
      </c>
      <c r="D60">
        <v>37113</v>
      </c>
      <c r="E60">
        <v>83733</v>
      </c>
      <c r="F60">
        <v>73165</v>
      </c>
      <c r="G60">
        <v>5</v>
      </c>
    </row>
    <row r="61" spans="1:7" x14ac:dyDescent="0.35">
      <c r="A61" s="1">
        <v>41694</v>
      </c>
      <c r="B61">
        <v>25256</v>
      </c>
      <c r="C61">
        <v>29157</v>
      </c>
      <c r="D61">
        <v>29730</v>
      </c>
      <c r="E61">
        <v>79420</v>
      </c>
      <c r="F61">
        <v>56620</v>
      </c>
      <c r="G61">
        <v>0</v>
      </c>
    </row>
    <row r="62" spans="1:7" x14ac:dyDescent="0.35">
      <c r="A62" s="1">
        <v>41701</v>
      </c>
      <c r="B62">
        <v>37147</v>
      </c>
      <c r="C62">
        <v>35422</v>
      </c>
      <c r="D62">
        <v>39523</v>
      </c>
      <c r="E62">
        <v>79065</v>
      </c>
      <c r="F62">
        <v>76410</v>
      </c>
      <c r="G62">
        <v>5</v>
      </c>
    </row>
    <row r="63" spans="1:7" x14ac:dyDescent="0.35">
      <c r="A63" s="1">
        <v>41708</v>
      </c>
      <c r="B63">
        <v>25328</v>
      </c>
      <c r="C63">
        <v>29065</v>
      </c>
      <c r="D63">
        <v>29445</v>
      </c>
      <c r="E63">
        <v>80207</v>
      </c>
      <c r="F63">
        <v>55611</v>
      </c>
      <c r="G63">
        <v>0</v>
      </c>
    </row>
    <row r="64" spans="1:7" x14ac:dyDescent="0.35">
      <c r="A64" s="1">
        <v>41715</v>
      </c>
      <c r="B64">
        <v>32589</v>
      </c>
      <c r="C64">
        <v>33036</v>
      </c>
      <c r="D64">
        <v>37580</v>
      </c>
      <c r="E64">
        <v>76990</v>
      </c>
      <c r="F64">
        <v>72248</v>
      </c>
      <c r="G64">
        <v>5</v>
      </c>
    </row>
    <row r="65" spans="1:7" x14ac:dyDescent="0.35">
      <c r="A65" s="1">
        <v>41722</v>
      </c>
      <c r="B65">
        <v>24756</v>
      </c>
      <c r="C65">
        <v>30223</v>
      </c>
      <c r="D65">
        <v>30514</v>
      </c>
      <c r="E65">
        <v>72894</v>
      </c>
      <c r="F65">
        <v>53683</v>
      </c>
      <c r="G65">
        <v>0</v>
      </c>
    </row>
    <row r="66" spans="1:7" x14ac:dyDescent="0.35">
      <c r="A66" s="1">
        <v>41729</v>
      </c>
      <c r="B66">
        <v>37343</v>
      </c>
      <c r="C66">
        <v>37703</v>
      </c>
      <c r="D66">
        <v>40522</v>
      </c>
      <c r="E66">
        <v>88230</v>
      </c>
      <c r="F66">
        <v>79541</v>
      </c>
      <c r="G66">
        <v>5</v>
      </c>
    </row>
    <row r="67" spans="1:7" x14ac:dyDescent="0.35">
      <c r="A67" s="1">
        <v>41736</v>
      </c>
      <c r="B67">
        <v>26982</v>
      </c>
      <c r="C67">
        <v>37081</v>
      </c>
      <c r="D67">
        <v>30976</v>
      </c>
      <c r="E67">
        <v>77633</v>
      </c>
      <c r="F67">
        <v>56412</v>
      </c>
      <c r="G67">
        <v>0</v>
      </c>
    </row>
    <row r="68" spans="1:7" x14ac:dyDescent="0.35">
      <c r="A68" s="1">
        <v>41743</v>
      </c>
      <c r="B68">
        <v>32033</v>
      </c>
      <c r="C68">
        <v>54834</v>
      </c>
      <c r="D68">
        <v>44278</v>
      </c>
      <c r="E68">
        <v>92907</v>
      </c>
      <c r="F68">
        <v>74502</v>
      </c>
      <c r="G68">
        <v>5</v>
      </c>
    </row>
    <row r="69" spans="1:7" x14ac:dyDescent="0.35">
      <c r="A69" s="1">
        <v>41750</v>
      </c>
      <c r="B69">
        <v>21847</v>
      </c>
      <c r="C69">
        <v>39906</v>
      </c>
      <c r="D69">
        <v>24004</v>
      </c>
      <c r="E69">
        <v>75729</v>
      </c>
      <c r="F69">
        <v>47211</v>
      </c>
      <c r="G69">
        <v>0</v>
      </c>
    </row>
    <row r="70" spans="1:7" x14ac:dyDescent="0.35">
      <c r="A70" s="1">
        <v>41757</v>
      </c>
      <c r="B70">
        <v>35274</v>
      </c>
      <c r="C70">
        <v>46369</v>
      </c>
      <c r="D70">
        <v>38697</v>
      </c>
      <c r="E70">
        <v>94507</v>
      </c>
      <c r="F70">
        <v>75985</v>
      </c>
      <c r="G70">
        <v>5</v>
      </c>
    </row>
    <row r="71" spans="1:7" x14ac:dyDescent="0.35">
      <c r="A71" s="1">
        <v>41764</v>
      </c>
      <c r="B71">
        <v>36542</v>
      </c>
      <c r="C71">
        <v>38918</v>
      </c>
      <c r="D71">
        <v>40805</v>
      </c>
      <c r="E71">
        <v>86265</v>
      </c>
      <c r="F71">
        <v>77470</v>
      </c>
      <c r="G71">
        <v>5</v>
      </c>
    </row>
    <row r="72" spans="1:7" x14ac:dyDescent="0.35">
      <c r="A72" s="1">
        <v>41771</v>
      </c>
      <c r="B72">
        <v>23609</v>
      </c>
      <c r="C72">
        <v>33674</v>
      </c>
      <c r="D72">
        <v>29320</v>
      </c>
      <c r="E72">
        <v>79062</v>
      </c>
      <c r="F72">
        <v>53970</v>
      </c>
      <c r="G72">
        <v>0</v>
      </c>
    </row>
    <row r="73" spans="1:7" x14ac:dyDescent="0.35">
      <c r="A73" s="1">
        <v>41778</v>
      </c>
      <c r="B73">
        <v>33807</v>
      </c>
      <c r="C73">
        <v>41796</v>
      </c>
      <c r="D73">
        <v>37223</v>
      </c>
      <c r="E73">
        <v>86761</v>
      </c>
      <c r="F73">
        <v>71765</v>
      </c>
      <c r="G73">
        <v>5</v>
      </c>
    </row>
    <row r="74" spans="1:7" x14ac:dyDescent="0.35">
      <c r="A74" s="1">
        <v>41785</v>
      </c>
      <c r="B74">
        <v>23808</v>
      </c>
      <c r="C74">
        <v>45393</v>
      </c>
      <c r="D74">
        <v>30698</v>
      </c>
      <c r="E74">
        <v>87314</v>
      </c>
      <c r="F74">
        <v>55444</v>
      </c>
      <c r="G74">
        <v>0</v>
      </c>
    </row>
    <row r="75" spans="1:7" x14ac:dyDescent="0.35">
      <c r="A75" s="1">
        <v>41792</v>
      </c>
      <c r="B75">
        <v>38994</v>
      </c>
      <c r="C75">
        <v>52270</v>
      </c>
      <c r="D75">
        <v>41566</v>
      </c>
      <c r="E75">
        <v>92096</v>
      </c>
      <c r="F75">
        <v>82156</v>
      </c>
      <c r="G75">
        <v>5</v>
      </c>
    </row>
    <row r="76" spans="1:7" x14ac:dyDescent="0.35">
      <c r="A76" s="1">
        <v>41799</v>
      </c>
      <c r="B76">
        <v>23473</v>
      </c>
      <c r="C76">
        <v>46539</v>
      </c>
      <c r="D76">
        <v>27710</v>
      </c>
      <c r="E76">
        <v>88868</v>
      </c>
      <c r="F76">
        <v>53097</v>
      </c>
      <c r="G76">
        <v>0</v>
      </c>
    </row>
    <row r="77" spans="1:7" x14ac:dyDescent="0.35">
      <c r="A77" s="1">
        <v>41806</v>
      </c>
      <c r="B77">
        <v>30206</v>
      </c>
      <c r="C77">
        <v>46888</v>
      </c>
      <c r="D77">
        <v>38666</v>
      </c>
      <c r="E77">
        <v>87877</v>
      </c>
      <c r="F77">
        <v>70890</v>
      </c>
      <c r="G77">
        <v>5</v>
      </c>
    </row>
    <row r="78" spans="1:7" x14ac:dyDescent="0.35">
      <c r="A78" s="1">
        <v>41813</v>
      </c>
      <c r="B78">
        <v>25650</v>
      </c>
      <c r="C78">
        <v>41991</v>
      </c>
      <c r="D78">
        <v>30176</v>
      </c>
      <c r="E78">
        <v>79587</v>
      </c>
      <c r="F78">
        <v>54424</v>
      </c>
      <c r="G78">
        <v>0</v>
      </c>
    </row>
    <row r="79" spans="1:7" x14ac:dyDescent="0.35">
      <c r="A79" s="1">
        <v>41820</v>
      </c>
      <c r="B79">
        <v>37929</v>
      </c>
      <c r="C79">
        <v>47654</v>
      </c>
      <c r="D79">
        <v>41179</v>
      </c>
      <c r="E79">
        <v>88672</v>
      </c>
      <c r="F79">
        <v>82600</v>
      </c>
      <c r="G79">
        <v>5</v>
      </c>
    </row>
    <row r="80" spans="1:7" x14ac:dyDescent="0.35">
      <c r="A80" s="1">
        <v>41827</v>
      </c>
      <c r="B80">
        <v>25007</v>
      </c>
      <c r="C80">
        <v>55112</v>
      </c>
      <c r="D80">
        <v>34497</v>
      </c>
      <c r="E80">
        <v>83743</v>
      </c>
      <c r="F80">
        <v>56968</v>
      </c>
      <c r="G80">
        <v>0</v>
      </c>
    </row>
    <row r="81" spans="1:7" x14ac:dyDescent="0.35">
      <c r="A81" s="1">
        <v>41834</v>
      </c>
      <c r="B81">
        <v>32759</v>
      </c>
      <c r="C81">
        <v>61615</v>
      </c>
      <c r="D81">
        <v>37938</v>
      </c>
      <c r="E81">
        <v>87932</v>
      </c>
      <c r="F81">
        <v>75866</v>
      </c>
      <c r="G81">
        <v>5</v>
      </c>
    </row>
    <row r="82" spans="1:7" x14ac:dyDescent="0.35">
      <c r="A82" s="1">
        <v>41841</v>
      </c>
      <c r="B82">
        <v>24757</v>
      </c>
      <c r="C82">
        <v>61772</v>
      </c>
      <c r="D82">
        <v>30389</v>
      </c>
      <c r="E82">
        <v>82220</v>
      </c>
      <c r="F82">
        <v>54143</v>
      </c>
      <c r="G82">
        <v>0</v>
      </c>
    </row>
    <row r="83" spans="1:7" x14ac:dyDescent="0.35">
      <c r="A83" s="1">
        <v>41848</v>
      </c>
      <c r="B83">
        <v>37322</v>
      </c>
      <c r="C83">
        <v>73922</v>
      </c>
      <c r="D83">
        <v>41707</v>
      </c>
      <c r="E83">
        <v>86733</v>
      </c>
      <c r="F83">
        <v>76630</v>
      </c>
      <c r="G83">
        <v>5</v>
      </c>
    </row>
    <row r="84" spans="1:7" x14ac:dyDescent="0.35">
      <c r="A84" s="1">
        <v>41855</v>
      </c>
      <c r="B84">
        <v>33908</v>
      </c>
      <c r="C84">
        <v>69652</v>
      </c>
      <c r="D84">
        <v>39108</v>
      </c>
      <c r="E84">
        <v>84325</v>
      </c>
      <c r="F84">
        <v>77157</v>
      </c>
      <c r="G84">
        <v>5</v>
      </c>
    </row>
    <row r="85" spans="1:7" x14ac:dyDescent="0.35">
      <c r="A85" s="1">
        <v>41862</v>
      </c>
      <c r="B85">
        <v>22952</v>
      </c>
      <c r="C85">
        <v>61651</v>
      </c>
      <c r="D85">
        <v>33062</v>
      </c>
      <c r="E85">
        <v>82085</v>
      </c>
      <c r="F85">
        <v>59677</v>
      </c>
      <c r="G85">
        <v>0</v>
      </c>
    </row>
    <row r="86" spans="1:7" x14ac:dyDescent="0.35">
      <c r="A86" s="1">
        <v>41869</v>
      </c>
      <c r="B86">
        <v>32735</v>
      </c>
      <c r="C86">
        <v>56504</v>
      </c>
      <c r="D86">
        <v>44618</v>
      </c>
      <c r="E86">
        <v>82914</v>
      </c>
      <c r="F86">
        <v>77554</v>
      </c>
      <c r="G86">
        <v>5</v>
      </c>
    </row>
    <row r="87" spans="1:7" x14ac:dyDescent="0.35">
      <c r="A87" s="1">
        <v>41876</v>
      </c>
      <c r="B87">
        <v>25196</v>
      </c>
      <c r="C87">
        <v>56935</v>
      </c>
      <c r="D87">
        <v>41549</v>
      </c>
      <c r="E87">
        <v>79275</v>
      </c>
      <c r="F87">
        <v>58250</v>
      </c>
      <c r="G87">
        <v>0</v>
      </c>
    </row>
    <row r="88" spans="1:7" x14ac:dyDescent="0.35">
      <c r="A88" s="1">
        <v>41883</v>
      </c>
      <c r="B88">
        <v>34818</v>
      </c>
      <c r="C88">
        <v>57018</v>
      </c>
      <c r="D88">
        <v>42110</v>
      </c>
      <c r="E88">
        <v>81867</v>
      </c>
      <c r="F88">
        <v>82125</v>
      </c>
      <c r="G88">
        <v>5</v>
      </c>
    </row>
    <row r="89" spans="1:7" x14ac:dyDescent="0.35">
      <c r="A89" s="1">
        <v>41890</v>
      </c>
      <c r="B89">
        <v>23795</v>
      </c>
      <c r="C89">
        <v>44051</v>
      </c>
      <c r="D89">
        <v>29652</v>
      </c>
      <c r="E89">
        <v>82784</v>
      </c>
      <c r="F89">
        <v>56982</v>
      </c>
      <c r="G89">
        <v>0</v>
      </c>
    </row>
    <row r="90" spans="1:7" x14ac:dyDescent="0.35">
      <c r="A90" s="1">
        <v>41897</v>
      </c>
      <c r="B90">
        <v>31976</v>
      </c>
      <c r="C90">
        <v>47055</v>
      </c>
      <c r="D90">
        <v>38993</v>
      </c>
      <c r="E90">
        <v>90775</v>
      </c>
      <c r="F90">
        <v>73735</v>
      </c>
      <c r="G90">
        <v>5</v>
      </c>
    </row>
    <row r="91" spans="1:7" x14ac:dyDescent="0.35">
      <c r="A91" s="1">
        <v>41904</v>
      </c>
      <c r="B91">
        <v>23167</v>
      </c>
      <c r="C91">
        <v>37454</v>
      </c>
      <c r="D91">
        <v>29674</v>
      </c>
      <c r="E91">
        <v>80315</v>
      </c>
      <c r="F91">
        <v>52097</v>
      </c>
      <c r="G91">
        <v>0</v>
      </c>
    </row>
    <row r="92" spans="1:7" x14ac:dyDescent="0.35">
      <c r="A92" s="1">
        <v>41911</v>
      </c>
      <c r="B92">
        <v>32082</v>
      </c>
      <c r="C92">
        <v>45782</v>
      </c>
      <c r="D92">
        <v>36652</v>
      </c>
      <c r="E92">
        <v>97305</v>
      </c>
      <c r="F92">
        <v>71212</v>
      </c>
      <c r="G92">
        <v>5</v>
      </c>
    </row>
    <row r="93" spans="1:7" x14ac:dyDescent="0.35">
      <c r="A93" s="1">
        <v>41918</v>
      </c>
      <c r="B93">
        <v>34128</v>
      </c>
      <c r="C93">
        <v>46242</v>
      </c>
      <c r="D93">
        <v>40374</v>
      </c>
      <c r="E93">
        <v>91811</v>
      </c>
      <c r="F93">
        <v>73402</v>
      </c>
      <c r="G93">
        <v>5</v>
      </c>
    </row>
    <row r="94" spans="1:7" x14ac:dyDescent="0.35">
      <c r="A94" s="1">
        <v>41925</v>
      </c>
      <c r="B94">
        <v>23163</v>
      </c>
      <c r="C94">
        <v>38863</v>
      </c>
      <c r="D94">
        <v>26882</v>
      </c>
      <c r="E94">
        <v>78596</v>
      </c>
      <c r="F94">
        <v>53895</v>
      </c>
      <c r="G94">
        <v>0</v>
      </c>
    </row>
    <row r="95" spans="1:7" x14ac:dyDescent="0.35">
      <c r="A95" s="1">
        <v>41932</v>
      </c>
      <c r="B95">
        <v>31669</v>
      </c>
      <c r="C95">
        <v>40929</v>
      </c>
      <c r="D95">
        <v>35769</v>
      </c>
      <c r="E95">
        <v>82584</v>
      </c>
      <c r="F95">
        <v>71036</v>
      </c>
      <c r="G95">
        <v>5</v>
      </c>
    </row>
    <row r="96" spans="1:7" x14ac:dyDescent="0.35">
      <c r="A96" s="1">
        <v>41939</v>
      </c>
      <c r="B96">
        <v>25742</v>
      </c>
      <c r="C96">
        <v>37559</v>
      </c>
      <c r="D96">
        <v>33170</v>
      </c>
      <c r="E96">
        <v>82490</v>
      </c>
      <c r="F96">
        <v>51070</v>
      </c>
      <c r="G96">
        <v>0</v>
      </c>
    </row>
    <row r="97" spans="1:7" x14ac:dyDescent="0.35">
      <c r="A97" s="1">
        <v>41946</v>
      </c>
      <c r="B97">
        <v>36334</v>
      </c>
      <c r="C97">
        <v>36729</v>
      </c>
      <c r="D97">
        <v>42663</v>
      </c>
      <c r="E97">
        <v>83065</v>
      </c>
      <c r="F97">
        <v>82710</v>
      </c>
      <c r="G97">
        <v>5</v>
      </c>
    </row>
    <row r="98" spans="1:7" x14ac:dyDescent="0.35">
      <c r="A98" s="1">
        <v>41953</v>
      </c>
      <c r="B98">
        <v>33100</v>
      </c>
      <c r="C98">
        <v>33575</v>
      </c>
      <c r="D98">
        <v>37608</v>
      </c>
      <c r="E98">
        <v>86862</v>
      </c>
      <c r="F98">
        <v>73944</v>
      </c>
      <c r="G98">
        <v>5</v>
      </c>
    </row>
    <row r="99" spans="1:7" x14ac:dyDescent="0.35">
      <c r="A99" s="1">
        <v>41960</v>
      </c>
      <c r="B99">
        <v>24887</v>
      </c>
      <c r="C99">
        <v>30448</v>
      </c>
      <c r="D99">
        <v>33581</v>
      </c>
      <c r="E99">
        <v>80872</v>
      </c>
      <c r="F99">
        <v>55347</v>
      </c>
      <c r="G99">
        <v>0</v>
      </c>
    </row>
    <row r="100" spans="1:7" x14ac:dyDescent="0.35">
      <c r="A100" s="1">
        <v>41967</v>
      </c>
      <c r="B100">
        <v>38406</v>
      </c>
      <c r="C100">
        <v>37741</v>
      </c>
      <c r="D100">
        <v>46854</v>
      </c>
      <c r="E100">
        <v>94670</v>
      </c>
      <c r="F100">
        <v>85107</v>
      </c>
      <c r="G100">
        <v>5</v>
      </c>
    </row>
    <row r="101" spans="1:7" x14ac:dyDescent="0.35">
      <c r="A101" s="1">
        <v>41974</v>
      </c>
      <c r="B101">
        <v>39283</v>
      </c>
      <c r="C101">
        <v>39406</v>
      </c>
      <c r="D101">
        <v>51774</v>
      </c>
      <c r="E101">
        <v>98328</v>
      </c>
      <c r="F101">
        <v>90241</v>
      </c>
      <c r="G101">
        <v>5</v>
      </c>
    </row>
    <row r="102" spans="1:7" x14ac:dyDescent="0.35">
      <c r="A102" s="1">
        <v>41981</v>
      </c>
      <c r="B102">
        <v>27728</v>
      </c>
      <c r="C102">
        <v>30234</v>
      </c>
      <c r="D102">
        <v>36160</v>
      </c>
      <c r="E102">
        <v>86749</v>
      </c>
      <c r="F102">
        <v>67606</v>
      </c>
      <c r="G102">
        <v>0</v>
      </c>
    </row>
    <row r="103" spans="1:7" x14ac:dyDescent="0.35">
      <c r="A103" s="1">
        <v>41988</v>
      </c>
      <c r="B103">
        <v>45249</v>
      </c>
      <c r="C103">
        <v>41943</v>
      </c>
      <c r="D103">
        <v>56448</v>
      </c>
      <c r="E103">
        <v>97849</v>
      </c>
      <c r="F103">
        <v>104087</v>
      </c>
      <c r="G103">
        <v>5</v>
      </c>
    </row>
    <row r="104" spans="1:7" x14ac:dyDescent="0.35">
      <c r="A104" s="1">
        <v>41995</v>
      </c>
      <c r="B104">
        <v>23592</v>
      </c>
      <c r="C104">
        <v>35647</v>
      </c>
      <c r="D104">
        <v>33984</v>
      </c>
      <c r="E104">
        <v>89331</v>
      </c>
      <c r="F104">
        <v>59132</v>
      </c>
      <c r="G104">
        <v>0</v>
      </c>
    </row>
    <row r="105" spans="1:7" x14ac:dyDescent="0.35">
      <c r="A105" s="1">
        <v>42002</v>
      </c>
      <c r="B105">
        <v>23027</v>
      </c>
      <c r="C105">
        <v>39676</v>
      </c>
      <c r="D105">
        <v>29308</v>
      </c>
      <c r="E105">
        <v>74775</v>
      </c>
      <c r="F105">
        <v>54838</v>
      </c>
      <c r="G105">
        <v>0</v>
      </c>
    </row>
    <row r="106" spans="1:7" x14ac:dyDescent="0.35">
      <c r="A106" s="1">
        <v>42009</v>
      </c>
      <c r="B106">
        <v>32622</v>
      </c>
      <c r="C106">
        <v>30311</v>
      </c>
      <c r="D106">
        <v>36940</v>
      </c>
      <c r="E106">
        <v>78674</v>
      </c>
      <c r="F106">
        <v>76194</v>
      </c>
      <c r="G106">
        <v>5</v>
      </c>
    </row>
    <row r="107" spans="1:7" x14ac:dyDescent="0.35">
      <c r="A107" s="1">
        <v>42016</v>
      </c>
      <c r="B107">
        <v>31192</v>
      </c>
      <c r="C107">
        <v>29505</v>
      </c>
      <c r="D107">
        <v>37203</v>
      </c>
      <c r="E107">
        <v>98267</v>
      </c>
      <c r="F107">
        <v>75402</v>
      </c>
      <c r="G107">
        <v>5</v>
      </c>
    </row>
    <row r="108" spans="1:7" x14ac:dyDescent="0.35">
      <c r="A108" s="1">
        <v>42023</v>
      </c>
      <c r="B108">
        <v>22587</v>
      </c>
      <c r="C108">
        <v>23800</v>
      </c>
      <c r="D108">
        <v>27242</v>
      </c>
      <c r="E108">
        <v>77379</v>
      </c>
      <c r="F108">
        <v>55214</v>
      </c>
      <c r="G108">
        <v>0</v>
      </c>
    </row>
    <row r="109" spans="1:7" x14ac:dyDescent="0.35">
      <c r="A109" s="1">
        <v>42030</v>
      </c>
      <c r="B109">
        <v>34433</v>
      </c>
      <c r="C109">
        <v>30391</v>
      </c>
      <c r="D109">
        <v>36701</v>
      </c>
      <c r="E109">
        <v>93950</v>
      </c>
      <c r="F109">
        <v>74829</v>
      </c>
      <c r="G109">
        <v>5</v>
      </c>
    </row>
    <row r="110" spans="1:7" x14ac:dyDescent="0.35">
      <c r="A110" s="1">
        <v>42037</v>
      </c>
      <c r="B110">
        <v>33576</v>
      </c>
      <c r="C110">
        <v>30734</v>
      </c>
      <c r="D110">
        <v>38742</v>
      </c>
      <c r="E110">
        <v>93029</v>
      </c>
      <c r="F110">
        <v>75210</v>
      </c>
      <c r="G110">
        <v>5</v>
      </c>
    </row>
    <row r="111" spans="1:7" x14ac:dyDescent="0.35">
      <c r="A111" s="1">
        <v>42044</v>
      </c>
      <c r="B111">
        <v>25023</v>
      </c>
      <c r="C111">
        <v>27866</v>
      </c>
      <c r="D111">
        <v>30848</v>
      </c>
      <c r="E111">
        <v>94160</v>
      </c>
      <c r="F111">
        <v>58984</v>
      </c>
      <c r="G111">
        <v>0</v>
      </c>
    </row>
    <row r="112" spans="1:7" x14ac:dyDescent="0.35">
      <c r="A112" s="1">
        <v>42051</v>
      </c>
      <c r="B112">
        <v>32372</v>
      </c>
      <c r="C112">
        <v>32628</v>
      </c>
      <c r="D112">
        <v>35668</v>
      </c>
      <c r="E112">
        <v>90039</v>
      </c>
      <c r="F112">
        <v>75205</v>
      </c>
      <c r="G112">
        <v>5</v>
      </c>
    </row>
    <row r="113" spans="1:7" x14ac:dyDescent="0.35">
      <c r="A113" s="1">
        <v>42058</v>
      </c>
      <c r="B113">
        <v>25817</v>
      </c>
      <c r="C113">
        <v>28459</v>
      </c>
      <c r="D113">
        <v>31027</v>
      </c>
      <c r="E113">
        <v>88046</v>
      </c>
      <c r="F113">
        <v>58918</v>
      </c>
      <c r="G113">
        <v>0</v>
      </c>
    </row>
    <row r="114" spans="1:7" x14ac:dyDescent="0.35">
      <c r="A114" s="1">
        <v>42065</v>
      </c>
      <c r="B114">
        <v>35300</v>
      </c>
      <c r="C114">
        <v>33048</v>
      </c>
      <c r="D114">
        <v>39876</v>
      </c>
      <c r="E114">
        <v>88858</v>
      </c>
      <c r="F114">
        <v>79124</v>
      </c>
      <c r="G114">
        <v>5</v>
      </c>
    </row>
    <row r="115" spans="1:7" x14ac:dyDescent="0.35">
      <c r="A115" s="1">
        <v>42072</v>
      </c>
      <c r="B115">
        <v>24141</v>
      </c>
      <c r="C115">
        <v>32091</v>
      </c>
      <c r="D115">
        <v>30281</v>
      </c>
      <c r="E115">
        <v>92514</v>
      </c>
      <c r="F115">
        <v>56751</v>
      </c>
      <c r="G115">
        <v>0</v>
      </c>
    </row>
    <row r="116" spans="1:7" x14ac:dyDescent="0.35">
      <c r="A116" s="1">
        <v>42079</v>
      </c>
      <c r="B116">
        <v>33105</v>
      </c>
      <c r="C116">
        <v>35702</v>
      </c>
      <c r="D116">
        <v>40273</v>
      </c>
      <c r="E116">
        <v>87402</v>
      </c>
      <c r="F116">
        <v>78141</v>
      </c>
      <c r="G116">
        <v>5</v>
      </c>
    </row>
    <row r="117" spans="1:7" x14ac:dyDescent="0.35">
      <c r="A117" s="1">
        <v>42086</v>
      </c>
      <c r="B117">
        <v>24914</v>
      </c>
      <c r="C117">
        <v>38441</v>
      </c>
      <c r="D117">
        <v>30171</v>
      </c>
      <c r="E117">
        <v>81315</v>
      </c>
      <c r="F117">
        <v>57528</v>
      </c>
      <c r="G117">
        <v>0</v>
      </c>
    </row>
    <row r="118" spans="1:7" x14ac:dyDescent="0.35">
      <c r="A118" s="1">
        <v>42093</v>
      </c>
      <c r="B118">
        <v>35065</v>
      </c>
      <c r="C118">
        <v>58973</v>
      </c>
      <c r="D118">
        <v>46411</v>
      </c>
      <c r="E118">
        <v>106086</v>
      </c>
      <c r="F118">
        <v>85196</v>
      </c>
      <c r="G118">
        <v>5</v>
      </c>
    </row>
    <row r="119" spans="1:7" x14ac:dyDescent="0.35">
      <c r="A119" s="1">
        <v>42100</v>
      </c>
      <c r="B119">
        <v>21676</v>
      </c>
      <c r="C119">
        <v>43901</v>
      </c>
      <c r="D119">
        <v>25770</v>
      </c>
      <c r="E119">
        <v>86568</v>
      </c>
      <c r="F119">
        <v>51513</v>
      </c>
      <c r="G119">
        <v>0</v>
      </c>
    </row>
    <row r="120" spans="1:7" x14ac:dyDescent="0.35">
      <c r="A120" s="1">
        <v>42107</v>
      </c>
      <c r="B120">
        <v>34183</v>
      </c>
      <c r="C120">
        <v>37713</v>
      </c>
      <c r="D120">
        <v>38447</v>
      </c>
      <c r="E120">
        <v>96218</v>
      </c>
      <c r="F120">
        <v>78082</v>
      </c>
      <c r="G120">
        <v>5</v>
      </c>
    </row>
    <row r="121" spans="1:7" x14ac:dyDescent="0.35">
      <c r="A121" s="1">
        <v>42114</v>
      </c>
      <c r="B121">
        <v>25346</v>
      </c>
      <c r="C121">
        <v>33822</v>
      </c>
      <c r="D121">
        <v>29190</v>
      </c>
      <c r="E121">
        <v>83277</v>
      </c>
      <c r="F121">
        <v>55826</v>
      </c>
      <c r="G121">
        <v>0</v>
      </c>
    </row>
    <row r="122" spans="1:7" x14ac:dyDescent="0.35">
      <c r="A122" s="1">
        <v>42121</v>
      </c>
      <c r="B122">
        <v>35022</v>
      </c>
      <c r="C122">
        <v>41169</v>
      </c>
      <c r="D122">
        <v>37263</v>
      </c>
      <c r="E122">
        <v>107663</v>
      </c>
      <c r="F122">
        <v>77718</v>
      </c>
      <c r="G122">
        <v>5</v>
      </c>
    </row>
    <row r="123" spans="1:7" x14ac:dyDescent="0.35">
      <c r="A123" s="1">
        <v>42128</v>
      </c>
      <c r="B123">
        <v>35568</v>
      </c>
      <c r="C123">
        <v>41906</v>
      </c>
      <c r="D123">
        <v>40576</v>
      </c>
      <c r="E123">
        <v>91369</v>
      </c>
      <c r="F123">
        <v>81135</v>
      </c>
      <c r="G123">
        <v>5</v>
      </c>
    </row>
    <row r="124" spans="1:7" x14ac:dyDescent="0.35">
      <c r="A124" s="1">
        <v>42135</v>
      </c>
      <c r="B124">
        <v>23184</v>
      </c>
      <c r="C124">
        <v>46679</v>
      </c>
      <c r="D124">
        <v>29261</v>
      </c>
      <c r="E124">
        <v>94349</v>
      </c>
      <c r="F124">
        <v>55457</v>
      </c>
      <c r="G124">
        <v>0</v>
      </c>
    </row>
    <row r="125" spans="1:7" x14ac:dyDescent="0.35">
      <c r="A125" s="1">
        <v>42142</v>
      </c>
      <c r="B125">
        <v>32983</v>
      </c>
      <c r="C125">
        <v>51101</v>
      </c>
      <c r="D125">
        <v>39904</v>
      </c>
      <c r="E125">
        <v>96422</v>
      </c>
      <c r="F125">
        <v>78001</v>
      </c>
      <c r="G125">
        <v>5</v>
      </c>
    </row>
    <row r="126" spans="1:7" x14ac:dyDescent="0.35">
      <c r="A126" s="1">
        <v>42149</v>
      </c>
      <c r="B126">
        <v>24552</v>
      </c>
      <c r="C126">
        <v>45156</v>
      </c>
      <c r="D126">
        <v>29650</v>
      </c>
      <c r="E126">
        <v>95802</v>
      </c>
      <c r="F126">
        <v>58118</v>
      </c>
      <c r="G126">
        <v>0</v>
      </c>
    </row>
    <row r="127" spans="1:7" x14ac:dyDescent="0.35">
      <c r="A127" s="1">
        <v>42156</v>
      </c>
      <c r="B127">
        <v>31282</v>
      </c>
      <c r="C127">
        <v>51714</v>
      </c>
      <c r="D127">
        <v>42566</v>
      </c>
      <c r="E127">
        <v>105420</v>
      </c>
      <c r="F127">
        <v>79102</v>
      </c>
      <c r="G127">
        <v>5</v>
      </c>
    </row>
    <row r="128" spans="1:7" x14ac:dyDescent="0.35">
      <c r="A128" s="1">
        <v>42163</v>
      </c>
      <c r="B128">
        <v>26249</v>
      </c>
      <c r="C128">
        <v>45798</v>
      </c>
      <c r="D128">
        <v>31459</v>
      </c>
      <c r="E128">
        <v>89390</v>
      </c>
      <c r="F128">
        <v>60678</v>
      </c>
      <c r="G128">
        <v>0</v>
      </c>
    </row>
    <row r="129" spans="1:7" x14ac:dyDescent="0.35">
      <c r="A129" s="1">
        <v>42170</v>
      </c>
      <c r="B129">
        <v>34523</v>
      </c>
      <c r="C129">
        <v>47729</v>
      </c>
      <c r="D129">
        <v>39754</v>
      </c>
      <c r="E129">
        <v>94521</v>
      </c>
      <c r="F129">
        <v>85222</v>
      </c>
      <c r="G129">
        <v>5</v>
      </c>
    </row>
    <row r="130" spans="1:7" x14ac:dyDescent="0.35">
      <c r="A130" s="1">
        <v>42177</v>
      </c>
      <c r="B130">
        <v>24954</v>
      </c>
      <c r="C130">
        <v>44161</v>
      </c>
      <c r="D130">
        <v>30447</v>
      </c>
      <c r="E130">
        <v>85543</v>
      </c>
      <c r="F130">
        <v>59046</v>
      </c>
      <c r="G130">
        <v>0</v>
      </c>
    </row>
    <row r="131" spans="1:7" x14ac:dyDescent="0.35">
      <c r="A131" s="1">
        <v>42184</v>
      </c>
      <c r="B131">
        <v>33949</v>
      </c>
      <c r="C131">
        <v>61631</v>
      </c>
      <c r="D131">
        <v>43029</v>
      </c>
      <c r="E131">
        <v>97950</v>
      </c>
      <c r="F131">
        <v>87575</v>
      </c>
      <c r="G131">
        <v>5</v>
      </c>
    </row>
    <row r="132" spans="1:7" x14ac:dyDescent="0.35">
      <c r="A132" s="1">
        <v>42191</v>
      </c>
      <c r="B132">
        <v>25560</v>
      </c>
      <c r="C132">
        <v>53800</v>
      </c>
      <c r="D132">
        <v>33663</v>
      </c>
      <c r="E132">
        <v>84308</v>
      </c>
      <c r="F132">
        <v>62545</v>
      </c>
      <c r="G132">
        <v>0</v>
      </c>
    </row>
    <row r="133" spans="1:7" x14ac:dyDescent="0.35">
      <c r="A133" s="1">
        <v>42198</v>
      </c>
      <c r="B133">
        <v>32500</v>
      </c>
      <c r="C133">
        <v>64048</v>
      </c>
      <c r="D133">
        <v>41164</v>
      </c>
      <c r="E133">
        <v>91032</v>
      </c>
      <c r="F133">
        <v>79095</v>
      </c>
      <c r="G133">
        <v>5</v>
      </c>
    </row>
    <row r="134" spans="1:7" x14ac:dyDescent="0.35">
      <c r="A134" s="1">
        <v>42205</v>
      </c>
      <c r="B134">
        <v>24087</v>
      </c>
      <c r="C134">
        <v>63296</v>
      </c>
      <c r="D134">
        <v>31027</v>
      </c>
      <c r="E134">
        <v>82457</v>
      </c>
      <c r="F134">
        <v>58463</v>
      </c>
      <c r="G1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2636-8184-4D51-9CB6-CE130267C151}">
  <dimension ref="A1:R29"/>
  <sheetViews>
    <sheetView tabSelected="1" topLeftCell="F1" zoomScale="59" zoomScaleNormal="60" workbookViewId="0">
      <selection activeCell="O25" sqref="O25"/>
    </sheetView>
  </sheetViews>
  <sheetFormatPr defaultColWidth="14.54296875" defaultRowHeight="14.5" x14ac:dyDescent="0.35"/>
  <sheetData>
    <row r="1" spans="1:18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35">
      <c r="A2" s="1">
        <f>Data!A123</f>
        <v>42128</v>
      </c>
      <c r="B2">
        <f>Data!B123</f>
        <v>35568</v>
      </c>
      <c r="C2">
        <f>Data!C123</f>
        <v>41906</v>
      </c>
      <c r="D2">
        <f>Data!D123</f>
        <v>40576</v>
      </c>
      <c r="E2">
        <f>Data!E123</f>
        <v>91369</v>
      </c>
      <c r="F2">
        <f>Data!F123</f>
        <v>81135</v>
      </c>
      <c r="H2">
        <f>Data!B71</f>
        <v>36542</v>
      </c>
      <c r="I2">
        <f>Data!C71</f>
        <v>38918</v>
      </c>
      <c r="J2">
        <f>Data!D71</f>
        <v>40805</v>
      </c>
      <c r="K2">
        <f>Data!E71</f>
        <v>86265</v>
      </c>
      <c r="L2">
        <f>Data!F71</f>
        <v>77470</v>
      </c>
      <c r="N2" s="3">
        <f>_xlfn.FORECAST.ETS($A2,Data!B$2:B$122,Data!$A$2:$A$122,52)</f>
        <v>36033.761901517311</v>
      </c>
      <c r="O2" s="3">
        <f>_xlfn.FORECAST.ETS($A2,Data!C$2:C$122,Data!$A$2:$A$122,52)</f>
        <v>43292.045356039838</v>
      </c>
      <c r="P2" s="3">
        <f>_xlfn.FORECAST.ETS($A2,Data!D$2:D$122,Data!$A$2:$A$122,52)</f>
        <v>38895.679573762056</v>
      </c>
      <c r="Q2" s="3">
        <f>_xlfn.FORECAST.ETS($A2,Data!E$2:E$122,Data!$A$2:$A$122,52)</f>
        <v>95547.777167671084</v>
      </c>
      <c r="R2" s="3">
        <f>_xlfn.FORECAST.ETS($A2,Data!F$2:F$122,Data!$A$2:$A$122,52)</f>
        <v>76462.036420550852</v>
      </c>
    </row>
    <row r="3" spans="1:18" x14ac:dyDescent="0.35">
      <c r="A3" s="1">
        <f>Data!A124</f>
        <v>42135</v>
      </c>
      <c r="B3">
        <f>Data!B124</f>
        <v>23184</v>
      </c>
      <c r="C3">
        <f>Data!C124</f>
        <v>46679</v>
      </c>
      <c r="D3">
        <f>Data!D124</f>
        <v>29261</v>
      </c>
      <c r="E3">
        <f>Data!E124</f>
        <v>94349</v>
      </c>
      <c r="F3">
        <f>Data!F124</f>
        <v>55457</v>
      </c>
      <c r="H3">
        <f>Data!B72</f>
        <v>23609</v>
      </c>
      <c r="I3">
        <f>Data!C72</f>
        <v>33674</v>
      </c>
      <c r="J3">
        <f>Data!D72</f>
        <v>29320</v>
      </c>
      <c r="K3">
        <f>Data!E72</f>
        <v>79062</v>
      </c>
      <c r="L3">
        <f>Data!F72</f>
        <v>53970</v>
      </c>
      <c r="N3" s="3">
        <f>_xlfn.FORECAST.ETS($A3,Data!B$2:B$122,Data!$A$2:$A$122,52)</f>
        <v>26930.719417862369</v>
      </c>
      <c r="O3" s="3">
        <f>_xlfn.FORECAST.ETS($A3,Data!C$2:C$122,Data!$A$2:$A$122,52)</f>
        <v>39663.865383101904</v>
      </c>
      <c r="P3" s="3">
        <f>_xlfn.FORECAST.ETS($A3,Data!D$2:D$122,Data!$A$2:$A$122,52)</f>
        <v>31166.756688160473</v>
      </c>
      <c r="Q3" s="3">
        <f>_xlfn.FORECAST.ETS($A3,Data!E$2:E$122,Data!$A$2:$A$122,52)</f>
        <v>89614.73378449789</v>
      </c>
      <c r="R3" s="3">
        <f>_xlfn.FORECAST.ETS($A3,Data!F$2:F$122,Data!$A$2:$A$122,52)</f>
        <v>61117.891718335268</v>
      </c>
    </row>
    <row r="4" spans="1:18" x14ac:dyDescent="0.35">
      <c r="A4" s="1">
        <f>Data!A125</f>
        <v>42142</v>
      </c>
      <c r="B4">
        <f>Data!B125</f>
        <v>32983</v>
      </c>
      <c r="C4">
        <f>Data!C125</f>
        <v>51101</v>
      </c>
      <c r="D4">
        <f>Data!D125</f>
        <v>39904</v>
      </c>
      <c r="E4">
        <f>Data!E125</f>
        <v>96422</v>
      </c>
      <c r="F4">
        <f>Data!F125</f>
        <v>78001</v>
      </c>
      <c r="H4">
        <f>Data!B73</f>
        <v>33807</v>
      </c>
      <c r="I4">
        <f>Data!C73</f>
        <v>41796</v>
      </c>
      <c r="J4">
        <f>Data!D73</f>
        <v>37223</v>
      </c>
      <c r="K4">
        <f>Data!E73</f>
        <v>86761</v>
      </c>
      <c r="L4">
        <f>Data!F73</f>
        <v>71765</v>
      </c>
      <c r="N4" s="3">
        <f>_xlfn.FORECAST.ETS($A4,Data!B$2:B$122,Data!$A$2:$A$122,52)</f>
        <v>32819.153445961165</v>
      </c>
      <c r="O4" s="3">
        <f>_xlfn.FORECAST.ETS($A4,Data!C$2:C$122,Data!$A$2:$A$122,52)</f>
        <v>44961.754630852767</v>
      </c>
      <c r="P4" s="3">
        <f>_xlfn.FORECAST.ETS($A4,Data!D$2:D$122,Data!$A$2:$A$122,52)</f>
        <v>35288.963380473106</v>
      </c>
      <c r="Q4" s="3">
        <f>_xlfn.FORECAST.ETS($A4,Data!E$2:E$122,Data!$A$2:$A$122,52)</f>
        <v>96190.075138138985</v>
      </c>
      <c r="R4" s="3">
        <f>_xlfn.FORECAST.ETS($A4,Data!F$2:F$122,Data!$A$2:$A$122,52)</f>
        <v>70060.169119525293</v>
      </c>
    </row>
    <row r="5" spans="1:18" x14ac:dyDescent="0.35">
      <c r="A5" s="1">
        <f>Data!A126</f>
        <v>42149</v>
      </c>
      <c r="B5">
        <f>Data!B126</f>
        <v>24552</v>
      </c>
      <c r="C5">
        <f>Data!C126</f>
        <v>45156</v>
      </c>
      <c r="D5">
        <f>Data!D126</f>
        <v>29650</v>
      </c>
      <c r="E5">
        <f>Data!E126</f>
        <v>95802</v>
      </c>
      <c r="F5">
        <f>Data!F126</f>
        <v>58118</v>
      </c>
      <c r="H5">
        <f>Data!B74</f>
        <v>23808</v>
      </c>
      <c r="I5">
        <f>Data!C74</f>
        <v>45393</v>
      </c>
      <c r="J5">
        <f>Data!D74</f>
        <v>30698</v>
      </c>
      <c r="K5">
        <f>Data!E74</f>
        <v>87314</v>
      </c>
      <c r="L5">
        <f>Data!F74</f>
        <v>55444</v>
      </c>
      <c r="N5" s="3">
        <f>_xlfn.FORECAST.ETS($A5,Data!B$2:B$122,Data!$A$2:$A$122,52)</f>
        <v>26531.142058982972</v>
      </c>
      <c r="O5" s="3">
        <f>_xlfn.FORECAST.ETS($A5,Data!C$2:C$122,Data!$A$2:$A$122,52)</f>
        <v>49294.110125754712</v>
      </c>
      <c r="P5" s="3">
        <f>_xlfn.FORECAST.ETS($A5,Data!D$2:D$122,Data!$A$2:$A$122,52)</f>
        <v>32394.93130324598</v>
      </c>
      <c r="Q5" s="3">
        <f>_xlfn.FORECAST.ETS($A5,Data!E$2:E$122,Data!$A$2:$A$122,52)</f>
        <v>96660.690131632145</v>
      </c>
      <c r="R5" s="3">
        <f>_xlfn.FORECAST.ETS($A5,Data!F$2:F$122,Data!$A$2:$A$122,52)</f>
        <v>61569.998656691416</v>
      </c>
    </row>
    <row r="6" spans="1:18" x14ac:dyDescent="0.35">
      <c r="A6" s="1">
        <f>Data!A127</f>
        <v>42156</v>
      </c>
      <c r="B6">
        <f>Data!B127</f>
        <v>31282</v>
      </c>
      <c r="C6">
        <f>Data!C127</f>
        <v>51714</v>
      </c>
      <c r="D6">
        <f>Data!D127</f>
        <v>42566</v>
      </c>
      <c r="E6">
        <f>Data!E127</f>
        <v>105420</v>
      </c>
      <c r="F6">
        <f>Data!F127</f>
        <v>79102</v>
      </c>
      <c r="H6">
        <f>Data!B75</f>
        <v>38994</v>
      </c>
      <c r="I6">
        <f>Data!C75</f>
        <v>52270</v>
      </c>
      <c r="J6">
        <f>Data!D75</f>
        <v>41566</v>
      </c>
      <c r="K6">
        <f>Data!E75</f>
        <v>92096</v>
      </c>
      <c r="L6">
        <f>Data!F75</f>
        <v>82156</v>
      </c>
      <c r="N6" s="3">
        <f>_xlfn.FORECAST.ETS($A6,Data!B$2:B$122,Data!$A$2:$A$122,52)</f>
        <v>39593.1252604935</v>
      </c>
      <c r="O6" s="3">
        <f>_xlfn.FORECAST.ETS($A6,Data!C$2:C$122,Data!$A$2:$A$122,52)</f>
        <v>54712.293166467469</v>
      </c>
      <c r="P6" s="3">
        <f>_xlfn.FORECAST.ETS($A6,Data!D$2:D$122,Data!$A$2:$A$122,52)</f>
        <v>41097.112040120228</v>
      </c>
      <c r="Q6" s="3">
        <f>_xlfn.FORECAST.ETS($A6,Data!E$2:E$122,Data!$A$2:$A$122,52)</f>
        <v>99891.651493631522</v>
      </c>
      <c r="R6" s="3">
        <f>_xlfn.FORECAST.ETS($A6,Data!F$2:F$122,Data!$A$2:$A$122,52)</f>
        <v>83313.41481104432</v>
      </c>
    </row>
    <row r="7" spans="1:18" x14ac:dyDescent="0.35">
      <c r="A7" s="1">
        <f>Data!A128</f>
        <v>42163</v>
      </c>
      <c r="B7">
        <f>Data!B128</f>
        <v>26249</v>
      </c>
      <c r="C7">
        <f>Data!C128</f>
        <v>45798</v>
      </c>
      <c r="D7">
        <f>Data!D128</f>
        <v>31459</v>
      </c>
      <c r="E7">
        <f>Data!E128</f>
        <v>89390</v>
      </c>
      <c r="F7">
        <f>Data!F128</f>
        <v>60678</v>
      </c>
      <c r="H7">
        <f>Data!B76</f>
        <v>23473</v>
      </c>
      <c r="I7">
        <f>Data!C76</f>
        <v>46539</v>
      </c>
      <c r="J7">
        <f>Data!D76</f>
        <v>27710</v>
      </c>
      <c r="K7">
        <f>Data!E76</f>
        <v>88868</v>
      </c>
      <c r="L7">
        <f>Data!F76</f>
        <v>53097</v>
      </c>
      <c r="N7" s="3">
        <f>_xlfn.FORECAST.ETS($A7,Data!B$2:B$122,Data!$A$2:$A$122,52)</f>
        <v>25122.276689209601</v>
      </c>
      <c r="O7" s="3">
        <f>_xlfn.FORECAST.ETS($A7,Data!C$2:C$122,Data!$A$2:$A$122,52)</f>
        <v>48919.23472636193</v>
      </c>
      <c r="P7" s="3">
        <f>_xlfn.FORECAST.ETS($A7,Data!D$2:D$122,Data!$A$2:$A$122,52)</f>
        <v>28296.865349520056</v>
      </c>
      <c r="Q7" s="3">
        <f>_xlfn.FORECAST.ETS($A7,Data!E$2:E$122,Data!$A$2:$A$122,52)</f>
        <v>96912.295071952933</v>
      </c>
      <c r="R7" s="3">
        <f>_xlfn.FORECAST.ETS($A7,Data!F$2:F$122,Data!$A$2:$A$122,52)</f>
        <v>56910.534491663551</v>
      </c>
    </row>
    <row r="8" spans="1:18" x14ac:dyDescent="0.35">
      <c r="A8" s="1">
        <f>Data!A129</f>
        <v>42170</v>
      </c>
      <c r="B8">
        <f>Data!B129</f>
        <v>34523</v>
      </c>
      <c r="C8">
        <f>Data!C129</f>
        <v>47729</v>
      </c>
      <c r="D8">
        <f>Data!D129</f>
        <v>39754</v>
      </c>
      <c r="E8">
        <f>Data!E129</f>
        <v>94521</v>
      </c>
      <c r="F8">
        <f>Data!F129</f>
        <v>85222</v>
      </c>
      <c r="H8">
        <f>Data!B77</f>
        <v>30206</v>
      </c>
      <c r="I8">
        <f>Data!C77</f>
        <v>46888</v>
      </c>
      <c r="J8">
        <f>Data!D77</f>
        <v>38666</v>
      </c>
      <c r="K8">
        <f>Data!E77</f>
        <v>87877</v>
      </c>
      <c r="L8">
        <f>Data!F77</f>
        <v>70890</v>
      </c>
      <c r="N8" s="3">
        <f>_xlfn.FORECAST.ETS($A8,Data!B$2:B$122,Data!$A$2:$A$122,52)</f>
        <v>31640.270189462346</v>
      </c>
      <c r="O8" s="3">
        <f>_xlfn.FORECAST.ETS($A8,Data!C$2:C$122,Data!$A$2:$A$122,52)</f>
        <v>50145.835765944401</v>
      </c>
      <c r="P8" s="3">
        <f>_xlfn.FORECAST.ETS($A8,Data!D$2:D$122,Data!$A$2:$A$122,52)</f>
        <v>38567.507248717397</v>
      </c>
      <c r="Q8" s="3">
        <f>_xlfn.FORECAST.ETS($A8,Data!E$2:E$122,Data!$A$2:$A$122,52)</f>
        <v>96868.360861467241</v>
      </c>
      <c r="R8" s="3">
        <f>_xlfn.FORECAST.ETS($A8,Data!F$2:F$122,Data!$A$2:$A$122,52)</f>
        <v>73714.355069610872</v>
      </c>
    </row>
    <row r="9" spans="1:18" x14ac:dyDescent="0.35">
      <c r="A9" s="1">
        <f>Data!A130</f>
        <v>42177</v>
      </c>
      <c r="B9">
        <f>Data!B130</f>
        <v>24954</v>
      </c>
      <c r="C9">
        <f>Data!C130</f>
        <v>44161</v>
      </c>
      <c r="D9">
        <f>Data!D130</f>
        <v>30447</v>
      </c>
      <c r="E9">
        <f>Data!E130</f>
        <v>85543</v>
      </c>
      <c r="F9">
        <f>Data!F130</f>
        <v>59046</v>
      </c>
      <c r="H9">
        <f>Data!B78</f>
        <v>25650</v>
      </c>
      <c r="I9">
        <f>Data!C78</f>
        <v>41991</v>
      </c>
      <c r="J9">
        <f>Data!D78</f>
        <v>30176</v>
      </c>
      <c r="K9">
        <f>Data!E78</f>
        <v>79587</v>
      </c>
      <c r="L9">
        <f>Data!F78</f>
        <v>54424</v>
      </c>
      <c r="N9" s="3">
        <f>_xlfn.FORECAST.ETS($A9,Data!B$2:B$122,Data!$A$2:$A$122,52)</f>
        <v>26695.102645169667</v>
      </c>
      <c r="O9" s="3">
        <f>_xlfn.FORECAST.ETS($A9,Data!C$2:C$122,Data!$A$2:$A$122,52)</f>
        <v>45545.104615295924</v>
      </c>
      <c r="P9" s="3">
        <f>_xlfn.FORECAST.ETS($A9,Data!D$2:D$122,Data!$A$2:$A$122,52)</f>
        <v>30363.754290398356</v>
      </c>
      <c r="Q9" s="3">
        <f>_xlfn.FORECAST.ETS($A9,Data!E$2:E$122,Data!$A$2:$A$122,52)</f>
        <v>89665.168568648936</v>
      </c>
      <c r="R9" s="3">
        <f>_xlfn.FORECAST.ETS($A9,Data!F$2:F$122,Data!$A$2:$A$122,52)</f>
        <v>58065.513759482506</v>
      </c>
    </row>
    <row r="10" spans="1:18" x14ac:dyDescent="0.35">
      <c r="A10" s="1">
        <f>Data!A131</f>
        <v>42184</v>
      </c>
      <c r="B10">
        <f>Data!B131</f>
        <v>33949</v>
      </c>
      <c r="C10">
        <f>Data!C131</f>
        <v>61631</v>
      </c>
      <c r="D10">
        <f>Data!D131</f>
        <v>43029</v>
      </c>
      <c r="E10">
        <f>Data!E131</f>
        <v>97950</v>
      </c>
      <c r="F10">
        <f>Data!F131</f>
        <v>87575</v>
      </c>
      <c r="H10">
        <f>Data!B79</f>
        <v>37929</v>
      </c>
      <c r="I10">
        <f>Data!C79</f>
        <v>47654</v>
      </c>
      <c r="J10">
        <f>Data!D79</f>
        <v>41179</v>
      </c>
      <c r="K10">
        <f>Data!E79</f>
        <v>88672</v>
      </c>
      <c r="L10">
        <f>Data!F79</f>
        <v>82600</v>
      </c>
      <c r="N10" s="3">
        <f>_xlfn.FORECAST.ETS($A10,Data!B$2:B$122,Data!$A$2:$A$122,52)</f>
        <v>38093.174072894537</v>
      </c>
      <c r="O10" s="3">
        <f>_xlfn.FORECAST.ETS($A10,Data!C$2:C$122,Data!$A$2:$A$122,52)</f>
        <v>53438.726429247588</v>
      </c>
      <c r="P10" s="3">
        <f>_xlfn.FORECAST.ETS($A10,Data!D$2:D$122,Data!$A$2:$A$122,52)</f>
        <v>40609.461765286811</v>
      </c>
      <c r="Q10" s="3">
        <f>_xlfn.FORECAST.ETS($A10,Data!E$2:E$122,Data!$A$2:$A$122,52)</f>
        <v>97546.646592196252</v>
      </c>
      <c r="R10" s="3">
        <f>_xlfn.FORECAST.ETS($A10,Data!F$2:F$122,Data!$A$2:$A$122,52)</f>
        <v>84536.108899755433</v>
      </c>
    </row>
    <row r="11" spans="1:18" x14ac:dyDescent="0.35">
      <c r="A11" s="1">
        <f>Data!A132</f>
        <v>42191</v>
      </c>
      <c r="B11">
        <f>Data!B132</f>
        <v>25560</v>
      </c>
      <c r="C11">
        <f>Data!C132</f>
        <v>53800</v>
      </c>
      <c r="D11">
        <f>Data!D132</f>
        <v>33663</v>
      </c>
      <c r="E11">
        <f>Data!E132</f>
        <v>84308</v>
      </c>
      <c r="F11">
        <f>Data!F132</f>
        <v>62545</v>
      </c>
      <c r="H11">
        <f>Data!B80</f>
        <v>25007</v>
      </c>
      <c r="I11">
        <f>Data!C80</f>
        <v>55112</v>
      </c>
      <c r="J11">
        <f>Data!D80</f>
        <v>34497</v>
      </c>
      <c r="K11">
        <f>Data!E80</f>
        <v>83743</v>
      </c>
      <c r="L11">
        <f>Data!F80</f>
        <v>56968</v>
      </c>
      <c r="N11" s="3">
        <f>_xlfn.FORECAST.ETS($A11,Data!B$2:B$122,Data!$A$2:$A$122,52)</f>
        <v>26538.00810802247</v>
      </c>
      <c r="O11" s="3">
        <f>_xlfn.FORECAST.ETS($A11,Data!C$2:C$122,Data!$A$2:$A$122,52)</f>
        <v>59550.123509687262</v>
      </c>
      <c r="P11" s="3">
        <f>_xlfn.FORECAST.ETS($A11,Data!D$2:D$122,Data!$A$2:$A$122,52)</f>
        <v>32429.078487293016</v>
      </c>
      <c r="Q11" s="3">
        <f>_xlfn.FORECAST.ETS($A11,Data!E$2:E$122,Data!$A$2:$A$122,52)</f>
        <v>90943.63562145851</v>
      </c>
      <c r="R11" s="3">
        <f>_xlfn.FORECAST.ETS($A11,Data!F$2:F$122,Data!$A$2:$A$122,52)</f>
        <v>60931.543725051743</v>
      </c>
    </row>
    <row r="12" spans="1:18" x14ac:dyDescent="0.35">
      <c r="A12" s="1">
        <f>Data!A133</f>
        <v>42198</v>
      </c>
      <c r="B12">
        <f>Data!B133</f>
        <v>32500</v>
      </c>
      <c r="C12">
        <f>Data!C133</f>
        <v>64048</v>
      </c>
      <c r="D12">
        <f>Data!D133</f>
        <v>41164</v>
      </c>
      <c r="E12">
        <f>Data!E133</f>
        <v>91032</v>
      </c>
      <c r="F12">
        <f>Data!F133</f>
        <v>79095</v>
      </c>
      <c r="H12">
        <f>Data!B81</f>
        <v>32759</v>
      </c>
      <c r="I12">
        <f>Data!C81</f>
        <v>61615</v>
      </c>
      <c r="J12">
        <f>Data!D81</f>
        <v>37938</v>
      </c>
      <c r="K12">
        <f>Data!E81</f>
        <v>87932</v>
      </c>
      <c r="L12">
        <f>Data!F81</f>
        <v>75866</v>
      </c>
      <c r="N12" s="3">
        <f>_xlfn.FORECAST.ETS($A12,Data!B$2:B$122,Data!$A$2:$A$122,52)</f>
        <v>34897.336148542126</v>
      </c>
      <c r="O12" s="3">
        <f>_xlfn.FORECAST.ETS($A12,Data!C$2:C$122,Data!$A$2:$A$122,52)</f>
        <v>66293.451861629379</v>
      </c>
      <c r="P12" s="3">
        <f>_xlfn.FORECAST.ETS($A12,Data!D$2:D$122,Data!$A$2:$A$122,52)</f>
        <v>37825.475797520965</v>
      </c>
      <c r="Q12" s="3">
        <f>_xlfn.FORECAST.ETS($A12,Data!E$2:E$122,Data!$A$2:$A$122,52)</f>
        <v>95482.546077200226</v>
      </c>
      <c r="R12" s="3">
        <f>_xlfn.FORECAST.ETS($A12,Data!F$2:F$122,Data!$A$2:$A$122,52)</f>
        <v>82047.517762372765</v>
      </c>
    </row>
    <row r="13" spans="1:18" x14ac:dyDescent="0.35">
      <c r="A13" s="1">
        <f>Data!A134</f>
        <v>42205</v>
      </c>
      <c r="B13">
        <f>Data!B134</f>
        <v>24087</v>
      </c>
      <c r="C13">
        <f>Data!C134</f>
        <v>63296</v>
      </c>
      <c r="D13">
        <f>Data!D134</f>
        <v>31027</v>
      </c>
      <c r="E13">
        <f>Data!E134</f>
        <v>82457</v>
      </c>
      <c r="F13">
        <f>Data!F134</f>
        <v>58463</v>
      </c>
      <c r="H13">
        <f>Data!B82</f>
        <v>24757</v>
      </c>
      <c r="I13">
        <f>Data!C82</f>
        <v>61772</v>
      </c>
      <c r="J13">
        <f>Data!D82</f>
        <v>30389</v>
      </c>
      <c r="K13">
        <f>Data!E82</f>
        <v>82220</v>
      </c>
      <c r="L13">
        <f>Data!F82</f>
        <v>54143</v>
      </c>
      <c r="N13" s="3">
        <f>_xlfn.FORECAST.ETS($A13,Data!B$2:B$122,Data!$A$2:$A$122,52)</f>
        <v>26049.671306204422</v>
      </c>
      <c r="O13" s="3">
        <f>_xlfn.FORECAST.ETS($A13,Data!C$2:C$122,Data!$A$2:$A$122,52)</f>
        <v>67632.702465759969</v>
      </c>
      <c r="P13" s="3">
        <f>_xlfn.FORECAST.ETS($A13,Data!D$2:D$122,Data!$A$2:$A$122,52)</f>
        <v>30967.803389954785</v>
      </c>
      <c r="Q13" s="3">
        <f>_xlfn.FORECAST.ETS($A13,Data!E$2:E$122,Data!$A$2:$A$122,52)</f>
        <v>90438.235678361845</v>
      </c>
      <c r="R13" s="3">
        <f>_xlfn.FORECAST.ETS($A13,Data!F$2:F$122,Data!$A$2:$A$122,52)</f>
        <v>58080.369840211679</v>
      </c>
    </row>
    <row r="14" spans="1:18" x14ac:dyDescent="0.35">
      <c r="G14" t="s">
        <v>26</v>
      </c>
    </row>
    <row r="15" spans="1:18" x14ac:dyDescent="0.35">
      <c r="A15" t="s">
        <v>22</v>
      </c>
      <c r="B15" s="5" cm="1">
        <f t="array" ref="B15">SUMPRODUCT(ABS(B$2:B$13-H$2:H$13)/B$2:B$13)/COUNT(B$2:B$13)</f>
        <v>6.5073569210509163E-2</v>
      </c>
      <c r="C15" s="5" cm="1">
        <f t="array" ref="C15">SUMPRODUCT(ABS(C$2:C$13-I$2:I$13)/C$2:C$13)/COUNT(C$2:C$13)</f>
        <v>7.8681035535801025E-2</v>
      </c>
      <c r="D15" s="5" cm="1">
        <f t="array" ref="D15">SUMPRODUCT(ABS(D$2:D$13-J$2:J$13)/D$2:D$13)/COUNT(D$2:D$13)</f>
        <v>3.7985531139512925E-2</v>
      </c>
      <c r="E15" s="5" cm="1">
        <f t="array" ref="E15">SUMPRODUCT(ABS(E$2:E$13-K$2:K$13)/E$2:E$13)/COUNT(E$2:E$13)</f>
        <v>6.8098315758444231E-2</v>
      </c>
      <c r="F15" s="5" cm="1">
        <f t="array" ref="F15">SUMPRODUCT(ABS(F$2:F$13-L$2:L$13)/F$2:F$13)/COUNT(F$2:F$13)</f>
        <v>7.2386105117773145E-2</v>
      </c>
      <c r="G15" s="5">
        <f>AVERAGE(B15:F15)</f>
        <v>6.4444911352408096E-2</v>
      </c>
    </row>
    <row r="16" spans="1:18" x14ac:dyDescent="0.35">
      <c r="A16" t="s">
        <v>23</v>
      </c>
      <c r="B16" s="5" cm="1">
        <f t="array" ref="B16">SUMPRODUCT(ABS(B$2:B$13-N$2:N$13)/B$2:B$13)/COUNT(B$2:B$13)</f>
        <v>8.6478662326151021E-2</v>
      </c>
      <c r="C16" s="5" cm="1">
        <f t="array" ref="C16">SUMPRODUCT(ABS(C$2:C$13-O$2:O$13)/C$2:C$13)/COUNT(C$2:C$13)</f>
        <v>7.8885550180130673E-2</v>
      </c>
      <c r="D16" s="5" cm="1">
        <f t="array" ref="D16">SUMPRODUCT(ABS(D$2:D$13-P$2:P$13)/D$2:D$13)/COUNT(D$2:D$13)</f>
        <v>5.4856125614810965E-2</v>
      </c>
      <c r="E16" s="5" cm="1">
        <f t="array" ref="E16">SUMPRODUCT(ABS(E$2:E$13-Q$2:Q$13)/E$2:E$13)/COUNT(E$2:E$13)</f>
        <v>4.5450387946844827E-2</v>
      </c>
      <c r="F16" s="5" cm="1">
        <f t="array" ref="F16">SUMPRODUCT(ABS(F$2:F$13-R$2:R$13)/F$2:F$13)/COUNT(F$2:F$13)</f>
        <v>5.768416968174566E-2</v>
      </c>
      <c r="G16" s="5">
        <f t="shared" ref="G16:G18" si="0">AVERAGE(B16:F16)</f>
        <v>6.4670979149936622E-2</v>
      </c>
    </row>
    <row r="17" spans="1:7" x14ac:dyDescent="0.35">
      <c r="A17" t="s">
        <v>24</v>
      </c>
      <c r="B17" s="5" cm="1">
        <f t="array" ref="B17">SUMPRODUCT(ABS(B$2:B$13-H$2:H$13))/SUM(B$2:B$13)</f>
        <v>6.8490602219290139E-2</v>
      </c>
      <c r="C17" s="5" cm="1">
        <f t="array" ref="C17">SUMPRODUCT(ABS(C$2:C$13-I$2:I$13))/SUM(C$2:C$13)</f>
        <v>7.9558328025555125E-2</v>
      </c>
      <c r="D17" s="5" cm="1">
        <f t="array" ref="D17">SUMPRODUCT(ABS(D$2:D$13-J$2:J$13))/SUM(D$2:D$13)</f>
        <v>3.855028901734104E-2</v>
      </c>
      <c r="E17" s="5" cm="1">
        <f t="array" ref="E17">SUMPRODUCT(ABS(E$2:E$13-K$2:K$13))/SUM(E$2:E$13)</f>
        <v>7.0511103112768508E-2</v>
      </c>
      <c r="F17" s="5" cm="1">
        <f t="array" ref="F17">SUMPRODUCT(ABS(F$2:F$13-L$2:L$13))/SUM(F$2:F$13)</f>
        <v>7.3128013102220765E-2</v>
      </c>
      <c r="G17" s="5">
        <f t="shared" si="0"/>
        <v>6.6047667095435109E-2</v>
      </c>
    </row>
    <row r="18" spans="1:7" x14ac:dyDescent="0.35">
      <c r="A18" t="s">
        <v>25</v>
      </c>
      <c r="B18" s="5" cm="1">
        <f t="array" ref="B18">SUMPRODUCT(ABS(B$2:B$13-N$2:N$13))/SUM(B$2:B$13)</f>
        <v>8.557558893920067E-2</v>
      </c>
      <c r="C18" s="5" cm="1">
        <f t="array" ref="C18">SUMPRODUCT(ABS(C$2:C$13-O$2:O$13))/SUM(C$2:C$13)</f>
        <v>7.9614331405902614E-2</v>
      </c>
      <c r="D18" s="5" cm="1">
        <f t="array" ref="D18">SUMPRODUCT(ABS(D$2:D$13-P$2:P$13))/SUM(D$2:D$13)</f>
        <v>5.5255460504877868E-2</v>
      </c>
      <c r="E18" s="5" cm="1">
        <f t="array" ref="E18">SUMPRODUCT(ABS(E$2:E$13-Q$2:Q$13))/SUM(E$2:E$13)</f>
        <v>4.4196497781297292E-2</v>
      </c>
      <c r="F18" s="5" cm="1">
        <f t="array" ref="F18">SUMPRODUCT(ABS(F$2:F$13-R$2:R$13))/SUM(F$2:F$13)</f>
        <v>5.9425619226291408E-2</v>
      </c>
      <c r="G18" s="5">
        <f t="shared" si="0"/>
        <v>6.4813499571513972E-2</v>
      </c>
    </row>
    <row r="19" spans="1:7" x14ac:dyDescent="0.35">
      <c r="B19" s="2"/>
      <c r="C19" s="2"/>
      <c r="D19" s="2"/>
      <c r="E19" s="2"/>
      <c r="F19" s="2"/>
      <c r="G19" s="2"/>
    </row>
    <row r="20" spans="1:7" ht="52" customHeight="1" x14ac:dyDescent="0.35">
      <c r="A20" s="6" t="s">
        <v>27</v>
      </c>
      <c r="B20" s="6"/>
      <c r="C20" s="6"/>
      <c r="D20" s="6"/>
      <c r="E20" s="6"/>
      <c r="F20" s="6"/>
      <c r="G20" s="6"/>
    </row>
    <row r="29" spans="1:7" x14ac:dyDescent="0.35">
      <c r="G29" s="4"/>
    </row>
  </sheetData>
  <mergeCells count="1">
    <mergeCell ref="A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KAUSHIK</dc:creator>
  <cp:lastModifiedBy>LAVANYA KAUSHIK</cp:lastModifiedBy>
  <dcterms:created xsi:type="dcterms:W3CDTF">2026-09-25T15:52:22Z</dcterms:created>
  <dcterms:modified xsi:type="dcterms:W3CDTF">2026-09-25T16:17:03Z</dcterms:modified>
</cp:coreProperties>
</file>